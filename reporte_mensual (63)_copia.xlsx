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" sheetId="1" state="visible" r:id="rId1"/>
    <sheet xmlns:r="http://schemas.openxmlformats.org/officeDocument/2006/relationships" name="OIL" sheetId="2" state="visible" r:id="rId2"/>
    <sheet xmlns:r="http://schemas.openxmlformats.org/officeDocument/2006/relationships" name="IND" sheetId="3" state="visible" r:id="rId3"/>
    <sheet xmlns:r="http://schemas.openxmlformats.org/officeDocument/2006/relationships" name="SFY" sheetId="4" state="visible" r:id="rId4"/>
    <sheet xmlns:r="http://schemas.openxmlformats.org/officeDocument/2006/relationships" name="2012 - 2026" sheetId="5" state="visible" r:id="rId5"/>
    <sheet xmlns:r="http://schemas.openxmlformats.org/officeDocument/2006/relationships" name="Objetivos" sheetId="6" state="visible" r:id="rId6"/>
    <sheet xmlns:r="http://schemas.openxmlformats.org/officeDocument/2006/relationships" name="Objetivos Com." sheetId="7" state="visible" r:id="rId7"/>
  </sheets>
  <definedNames>
    <definedName name="_xlnm._FilterDatabase" localSheetId="0" hidden="1">'MIN'!$A$2:$L$33</definedName>
    <definedName name="_xlnm._FilterDatabase" localSheetId="1" hidden="1">'OIL'!$A$2:$L$12</definedName>
    <definedName name="_xlnm._FilterDatabase" localSheetId="2" hidden="1">'IND'!$A$2:$L$15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-yyyy"/>
    <numFmt numFmtId="166" formatCode="$ #,##0.00"/>
    <numFmt numFmtId="167" formatCode="dd-mm-yyyy hh:mm"/>
    <numFmt numFmtId="168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FFFFFF"/>
      <sz val="10"/>
    </font>
    <font>
      <name val="Segoe UI"/>
      <color rgb="0027272A"/>
      <sz val="9"/>
    </font>
    <font>
      <name val="Segoe UI"/>
      <b val="1"/>
      <color rgb="001E293B"/>
      <sz val="10"/>
    </font>
    <font>
      <name val="Segoe UI"/>
      <sz val="9"/>
    </font>
    <font>
      <name val="Segoe UI"/>
      <b val="1"/>
      <sz val="9"/>
    </font>
    <font>
      <name val="Segoe UI"/>
      <b val="1"/>
      <color rgb="00FFFFFF"/>
      <sz val="9"/>
    </font>
    <font>
      <name val="Segoe UI"/>
      <i val="1"/>
      <sz val="9"/>
    </font>
    <font>
      <name val="Segoe UI"/>
      <b val="1"/>
      <color rgb="0027272A"/>
      <sz val="9"/>
    </font>
    <font>
      <name val="Segoe UI"/>
      <b val="1"/>
      <color rgb="001E293B"/>
      <sz val="9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237573"/>
        <bgColor rgb="00237573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12">
    <border>
      <left/>
      <right/>
      <top/>
      <bottom/>
      <diagonal/>
    </border>
    <border>
      <bottom style="medium">
        <color rgb="0000000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00000"/>
      </top>
      <bottom style="double">
        <color rgb="00000000"/>
      </bottom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2" applyAlignment="1" pivotButton="0" quotePrefix="0" xfId="0">
      <alignment horizontal="left" vertical="center" wrapText="1"/>
    </xf>
    <xf numFmtId="165" fontId="3" fillId="0" borderId="2" applyAlignment="1" pivotButton="0" quotePrefix="0" xfId="0">
      <alignment horizontal="center" vertical="center" wrapText="1"/>
    </xf>
    <xf numFmtId="166" fontId="3" fillId="0" borderId="2" applyAlignment="1" pivotButton="0" quotePrefix="0" xfId="0">
      <alignment horizontal="right" vertical="center" wrapText="1"/>
    </xf>
    <xf numFmtId="0" fontId="5" fillId="0" borderId="5" applyAlignment="1" pivotButton="0" quotePrefix="0" xfId="0">
      <alignment horizontal="left" vertical="center" wrapText="1"/>
    </xf>
    <xf numFmtId="166" fontId="5" fillId="0" borderId="5" applyAlignment="1" pivotButton="0" quotePrefix="0" xfId="0">
      <alignment horizontal="right" vertical="center" wrapText="1"/>
    </xf>
    <xf numFmtId="3" fontId="5" fillId="0" borderId="5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165" fontId="3" fillId="3" borderId="2" applyAlignment="1" pivotButton="0" quotePrefix="0" xfId="0">
      <alignment horizontal="center" vertical="center" wrapText="1"/>
    </xf>
    <xf numFmtId="166" fontId="3" fillId="3" borderId="2" applyAlignment="1" pivotButton="0" quotePrefix="0" xfId="0">
      <alignment horizontal="right" vertical="center" wrapText="1"/>
    </xf>
    <xf numFmtId="0" fontId="5" fillId="4" borderId="3" applyAlignment="1" pivotButton="0" quotePrefix="0" xfId="0">
      <alignment horizontal="left" vertical="center" wrapText="1"/>
    </xf>
    <xf numFmtId="166" fontId="6" fillId="4" borderId="3" applyAlignment="1" pivotButton="0" quotePrefix="0" xfId="0">
      <alignment horizontal="right" vertical="center" wrapText="1"/>
    </xf>
    <xf numFmtId="3" fontId="6" fillId="4" borderId="3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0" borderId="5" applyAlignment="1" pivotButton="0" quotePrefix="0" xfId="0">
      <alignment horizontal="left" vertical="center" wrapText="1"/>
    </xf>
    <xf numFmtId="167" fontId="8" fillId="0" borderId="5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left" vertical="center" wrapText="1"/>
    </xf>
    <xf numFmtId="166" fontId="4" fillId="0" borderId="3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166" fontId="5" fillId="0" borderId="5" applyAlignment="1" pivotButton="0" quotePrefix="0" xfId="0">
      <alignment horizontal="right"/>
    </xf>
    <xf numFmtId="0" fontId="5" fillId="0" borderId="5" pivotButton="0" quotePrefix="0" xfId="0"/>
    <xf numFmtId="0" fontId="5" fillId="3" borderId="5" applyAlignment="1" pivotButton="0" quotePrefix="0" xfId="0">
      <alignment horizontal="center"/>
    </xf>
    <xf numFmtId="166" fontId="5" fillId="3" borderId="5" applyAlignment="1" pivotButton="0" quotePrefix="0" xfId="0">
      <alignment horizontal="right"/>
    </xf>
    <xf numFmtId="0" fontId="5" fillId="3" borderId="5" pivotButton="0" quotePrefix="0" xfId="0"/>
    <xf numFmtId="0" fontId="11" fillId="4" borderId="3" applyAlignment="1" pivotButton="0" quotePrefix="0" xfId="0">
      <alignment horizontal="center"/>
    </xf>
    <xf numFmtId="166" fontId="11" fillId="4" borderId="3" applyAlignment="1" pivotButton="0" quotePrefix="0" xfId="0">
      <alignment horizontal="right"/>
    </xf>
    <xf numFmtId="0" fontId="1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66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166" fontId="3" fillId="3" borderId="2" applyAlignment="1" pivotButton="0" quotePrefix="0" xfId="0">
      <alignment horizontal="right" vertical="center"/>
    </xf>
    <xf numFmtId="0" fontId="4" fillId="4" borderId="3" applyAlignment="1" pivotButton="0" quotePrefix="0" xfId="0">
      <alignment horizontal="center" vertical="center" wrapText="1"/>
    </xf>
    <xf numFmtId="166" fontId="4" fillId="4" borderId="3" applyAlignment="1" pivotButton="0" quotePrefix="0" xfId="0">
      <alignment horizontal="right" vertical="center" wrapText="1"/>
    </xf>
    <xf numFmtId="0" fontId="7" fillId="2" borderId="7" applyAlignment="1" pivotButton="0" quotePrefix="0" xfId="0">
      <alignment horizontal="center" vertical="center"/>
    </xf>
    <xf numFmtId="166" fontId="9" fillId="0" borderId="2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10" fillId="3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right" vertical="center"/>
    </xf>
    <xf numFmtId="168" fontId="3" fillId="3" borderId="2" applyAlignment="1" pivotButton="0" quotePrefix="0" xfId="0">
      <alignment horizontal="right" vertical="center"/>
    </xf>
    <xf numFmtId="0" fontId="4" fillId="4" borderId="3" applyAlignment="1" pivotButton="0" quotePrefix="0" xfId="0">
      <alignment horizontal="center" vertical="center"/>
    </xf>
    <xf numFmtId="168" fontId="4" fillId="4" borderId="3" applyAlignment="1" pivotButton="0" quotePrefix="0" xfId="0">
      <alignment horizontal="right" vertical="center"/>
    </xf>
    <xf numFmtId="0" fontId="7" fillId="2" borderId="2" applyAlignment="1" pivotButton="0" quotePrefix="0" xfId="0">
      <alignment horizontal="center" vertical="center"/>
    </xf>
    <xf numFmtId="9" fontId="3" fillId="3" borderId="2" applyAlignment="1" pivotButton="0" quotePrefix="0" xfId="0">
      <alignment horizontal="right" vertical="center"/>
    </xf>
    <xf numFmtId="9" fontId="3" fillId="0" borderId="2" applyAlignment="1" pivotButton="0" quotePrefix="0" xfId="0">
      <alignment horizontal="right" vertical="center"/>
    </xf>
    <xf numFmtId="0" fontId="7" fillId="2" borderId="2" applyAlignment="1" pivotButton="0" quotePrefix="0" xfId="0">
      <alignment horizontal="center" vertical="center" textRotation="90"/>
    </xf>
    <xf numFmtId="0" fontId="7" fillId="2" borderId="2" applyAlignment="1" pivotButton="0" quotePrefix="0" xfId="0">
      <alignment horizontal="center" vertical="center" wrapText="1"/>
    </xf>
    <xf numFmtId="0" fontId="0" fillId="0" borderId="10" pivotButton="0" quotePrefix="0" xfId="0"/>
    <xf numFmtId="0" fontId="5" fillId="0" borderId="2" applyAlignment="1" pivotButton="0" quotePrefix="0" xfId="0">
      <alignment horizontal="left" vertical="center"/>
    </xf>
    <xf numFmtId="166" fontId="5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66" fontId="5" fillId="0" borderId="2" applyAlignment="1" pivotButton="0" quotePrefix="0" xfId="0">
      <alignment horizontal="right" vertical="center"/>
    </xf>
    <xf numFmtId="168" fontId="5" fillId="0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/>
    </xf>
    <xf numFmtId="2" fontId="5" fillId="3" borderId="2" applyAlignment="1" pivotButton="0" quotePrefix="0" xfId="0">
      <alignment horizontal="center" vertical="center"/>
    </xf>
    <xf numFmtId="166" fontId="5" fillId="3" borderId="2" applyAlignment="1" pivotButton="0" quotePrefix="0" xfId="0">
      <alignment horizontal="right" vertical="center"/>
    </xf>
    <xf numFmtId="168" fontId="5" fillId="3" borderId="2" applyAlignment="1" pivotButton="0" quotePrefix="0" xfId="0">
      <alignment horizontal="right" vertical="center"/>
    </xf>
    <xf numFmtId="0" fontId="0" fillId="0" borderId="11" pivotButton="0" quotePrefix="0" xfId="0"/>
    <xf numFmtId="0" fontId="6" fillId="4" borderId="8" applyAlignment="1" pivotButton="0" quotePrefix="0" xfId="0">
      <alignment horizontal="left"/>
    </xf>
    <xf numFmtId="0" fontId="6" fillId="4" borderId="8" pivotButton="0" quotePrefix="0" xfId="0"/>
    <xf numFmtId="2" fontId="6" fillId="4" borderId="8" applyAlignment="1" pivotButton="0" quotePrefix="0" xfId="0">
      <alignment horizontal="center"/>
    </xf>
    <xf numFmtId="166" fontId="6" fillId="4" borderId="8" applyAlignment="1" pivotButton="0" quotePrefix="0" xfId="0">
      <alignment horizontal="right"/>
    </xf>
    <xf numFmtId="168" fontId="6" fillId="4" borderId="8" applyAlignment="1" pivotButton="0" quotePrefix="0" xfId="0">
      <alignment horizontal="right"/>
    </xf>
    <xf numFmtId="0" fontId="6" fillId="4" borderId="3" applyAlignment="1" pivotButton="0" quotePrefix="0" xfId="0">
      <alignment horizontal="left" vertical="center"/>
    </xf>
    <xf numFmtId="166" fontId="6" fillId="4" borderId="3" applyAlignment="1" pivotButton="0" quotePrefix="0" xfId="0">
      <alignment horizontal="right" vertical="center"/>
    </xf>
    <xf numFmtId="168" fontId="6" fillId="4" borderId="3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0070C0"/>
          <bgColor rgb="000070C0"/>
        </patternFill>
      </fill>
      <border>
        <left style="thin">
          <color rgb="00E2E8F0"/>
        </left>
        <right style="thin">
          <color rgb="00E2E8F0"/>
        </right>
        <top style="thin">
          <color rgb="00E2E8F0"/>
        </top>
        <bottom style="thin">
          <color rgb="00E2E8F0"/>
        </bottom>
      </border>
    </dxf>
    <dxf>
      <font>
        <b val="1"/>
        <color rgb="00FFFFFF"/>
      </font>
      <fill>
        <patternFill patternType="solid">
          <fgColor rgb="00FF0000"/>
          <bgColor rgb="00FF0000"/>
        </patternFill>
      </fill>
      <border>
        <left style="thin">
          <color rgb="00E2E8F0"/>
        </left>
        <right style="thin">
          <color rgb="00E2E8F0"/>
        </right>
        <top style="thin">
          <color rgb="00E2E8F0"/>
        </top>
        <bottom style="thin">
          <color rgb="00E2E8F0"/>
        </bottom>
      </border>
    </dxf>
    <dxf>
      <font>
        <b val="1"/>
        <color rgb="00FFFFFF"/>
      </font>
      <fill>
        <patternFill patternType="solid">
          <fgColor rgb="000070C0"/>
          <bgColor rgb="000070C0"/>
        </patternFill>
      </fill>
      <border>
        <left style="thin">
          <color rgb="00E2E8F0"/>
        </left>
        <right style="thin">
          <color rgb="00E2E8F0"/>
        </right>
        <top style="thin">
          <color rgb="00000000"/>
        </top>
        <bottom style="double">
          <color rgb="00000000"/>
        </bottom>
      </border>
    </dxf>
    <dxf>
      <font>
        <b val="1"/>
        <color rgb="00FFFFFF"/>
      </font>
      <fill>
        <patternFill patternType="solid">
          <fgColor rgb="00FF0000"/>
          <bgColor rgb="00FF0000"/>
        </patternFill>
      </fill>
      <border>
        <left style="thin">
          <color rgb="00E2E8F0"/>
        </left>
        <right style="thin">
          <color rgb="00E2E8F0"/>
        </right>
        <top style="thin">
          <color rgb="00000000"/>
        </top>
        <bottom style="double">
          <color rgb="00000000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Montos de OC por Empresa - Minera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'MIN'!O2</f>
            </strRef>
          </tx>
          <spPr>
            <a:ln xmlns:a="http://schemas.openxmlformats.org/drawingml/2006/main">
              <a:prstDash val="solid"/>
            </a:ln>
          </spPr>
          <cat>
            <numRef>
              <f>'MIN'!$N$3:$N$11</f>
            </numRef>
          </cat>
          <val>
            <numRef>
              <f>'MIN'!$O$3:$O$11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  <dTable>
        <showHorzBorder val="1"/>
        <showVertBorder val="1"/>
        <showOutline val="1"/>
        <showKeys val="1"/>
      </dTable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% Montos de OC por Cliente Sector Minería</a:t>
            </a:r>
          </a:p>
        </rich>
      </tx>
      <overlay val="0"/>
    </title>
    <plotArea>
      <pie3DChart>
        <varyColors val="1"/>
        <ser>
          <idx val="0"/>
          <order val="0"/>
          <tx>
            <strRef>
              <f>'MIN'!O2</f>
            </strRef>
          </tx>
          <spPr>
            <a:ln xmlns:a="http://schemas.openxmlformats.org/drawingml/2006/main">
              <a:prstDash val="solid"/>
            </a:ln>
          </spPr>
          <cat>
            <numRef>
              <f>'MIN'!$N$3:$N$11</f>
            </numRef>
          </cat>
          <val>
            <numRef>
              <f>'MIN'!$O$3:$O$11</f>
            </numRef>
          </val>
        </ser>
        <dLbls>
          <showVal val="0"/>
          <showCatName val="1"/>
          <showPercent val="1"/>
        </dLbls>
      </pie3DChart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Distribución de Ordenes de compra Minería</a:t>
            </a:r>
          </a:p>
        </rich>
      </tx>
      <overlay val="0"/>
    </title>
    <plotArea>
      <pie3DChart>
        <varyColors val="1"/>
        <ser>
          <idx val="0"/>
          <order val="0"/>
          <tx>
            <strRef>
              <f>'MIN'!O14</f>
            </strRef>
          </tx>
          <spPr>
            <a:ln xmlns:a="http://schemas.openxmlformats.org/drawingml/2006/main">
              <a:prstDash val="solid"/>
            </a:ln>
          </spPr>
          <cat>
            <numRef>
              <f>'MIN'!$N$15:$N$18</f>
            </numRef>
          </cat>
          <val>
            <numRef>
              <f>'MIN'!$O$15:$O$18</f>
            </numRef>
          </val>
        </ser>
        <dLbls>
          <showVal val="1"/>
          <showCatName val="1"/>
          <showPercent val="0"/>
        </dLbls>
      </pie3DChart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Montos de OC por Empresa - Petroquímica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'OIL'!O2</f>
            </strRef>
          </tx>
          <spPr>
            <a:ln xmlns:a="http://schemas.openxmlformats.org/drawingml/2006/main">
              <a:prstDash val="solid"/>
            </a:ln>
          </spPr>
          <cat>
            <numRef>
              <f>'OIL'!$N$3:$N$6</f>
            </numRef>
          </cat>
          <val>
            <numRef>
              <f>'OIL'!$O$3:$O$6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  <dTable>
        <showHorzBorder val="1"/>
        <showVertBorder val="1"/>
        <showOutline val="1"/>
        <showKeys val="1"/>
      </dTable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% Montos de OC por Cliente Sector Petroquímica</a:t>
            </a:r>
          </a:p>
        </rich>
      </tx>
      <overlay val="0"/>
    </title>
    <plotArea>
      <pie3DChart>
        <varyColors val="1"/>
        <ser>
          <idx val="0"/>
          <order val="0"/>
          <tx>
            <strRef>
              <f>'OIL'!O2</f>
            </strRef>
          </tx>
          <spPr>
            <a:ln xmlns:a="http://schemas.openxmlformats.org/drawingml/2006/main">
              <a:prstDash val="solid"/>
            </a:ln>
          </spPr>
          <cat>
            <numRef>
              <f>'OIL'!$N$3:$N$6</f>
            </numRef>
          </cat>
          <val>
            <numRef>
              <f>'OIL'!$O$3:$O$6</f>
            </numRef>
          </val>
        </ser>
        <dLbls>
          <showVal val="0"/>
          <showCatName val="1"/>
          <showPercent val="1"/>
        </dLbls>
      </pie3DChart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Distribución de Ordenes de compra Petroquímica</a:t>
            </a:r>
          </a:p>
        </rich>
      </tx>
      <overlay val="0"/>
    </title>
    <plotArea>
      <pie3DChart>
        <varyColors val="1"/>
        <ser>
          <idx val="0"/>
          <order val="0"/>
          <tx>
            <strRef>
              <f>'OIL'!O9</f>
            </strRef>
          </tx>
          <spPr>
            <a:ln xmlns:a="http://schemas.openxmlformats.org/drawingml/2006/main">
              <a:prstDash val="solid"/>
            </a:ln>
          </spPr>
          <cat>
            <numRef>
              <f>'OIL'!$N$10:$N$13</f>
            </numRef>
          </cat>
          <val>
            <numRef>
              <f>'OIL'!$O$10:$O$13</f>
            </numRef>
          </val>
        </ser>
        <dLbls>
          <showVal val="1"/>
          <showCatName val="1"/>
          <showPercent val="0"/>
        </dLbls>
      </pie3DChart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Montos de OC por Empresa - Industria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'IND'!O2</f>
            </strRef>
          </tx>
          <spPr>
            <a:ln xmlns:a="http://schemas.openxmlformats.org/drawingml/2006/main">
              <a:prstDash val="solid"/>
            </a:ln>
          </spPr>
          <cat>
            <numRef>
              <f>'IND'!$N$3:$N$7</f>
            </numRef>
          </cat>
          <val>
            <numRef>
              <f>'IND'!$O$3:$O$7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  <dTable>
        <showHorzBorder val="1"/>
        <showVertBorder val="1"/>
        <showOutline val="1"/>
        <showKeys val="1"/>
      </dTable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% Montos de OC por Cliente Sector Industria</a:t>
            </a:r>
          </a:p>
        </rich>
      </tx>
      <overlay val="0"/>
    </title>
    <plotArea>
      <pie3DChart>
        <varyColors val="1"/>
        <ser>
          <idx val="0"/>
          <order val="0"/>
          <tx>
            <strRef>
              <f>'IND'!O2</f>
            </strRef>
          </tx>
          <spPr>
            <a:ln xmlns:a="http://schemas.openxmlformats.org/drawingml/2006/main">
              <a:prstDash val="solid"/>
            </a:ln>
          </spPr>
          <cat>
            <numRef>
              <f>'IND'!$N$3:$N$7</f>
            </numRef>
          </cat>
          <val>
            <numRef>
              <f>'IND'!$O$3:$O$7</f>
            </numRef>
          </val>
        </ser>
        <dLbls>
          <showVal val="0"/>
          <showCatName val="1"/>
          <showPercent val="1"/>
        </dLbls>
      </pie3DChart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Distribución de Ordenes de compra Industria</a:t>
            </a:r>
          </a:p>
        </rich>
      </tx>
      <overlay val="0"/>
    </title>
    <plotArea>
      <pie3DChart>
        <varyColors val="1"/>
        <ser>
          <idx val="0"/>
          <order val="0"/>
          <tx>
            <strRef>
              <f>'IND'!O10</f>
            </strRef>
          </tx>
          <spPr>
            <a:ln xmlns:a="http://schemas.openxmlformats.org/drawingml/2006/main">
              <a:prstDash val="solid"/>
            </a:ln>
          </spPr>
          <cat>
            <numRef>
              <f>'IND'!$N$11:$N$14</f>
            </numRef>
          </cat>
          <val>
            <numRef>
              <f>'IND'!$O$11:$O$14</f>
            </numRef>
          </val>
        </ser>
        <dLbls>
          <showVal val="1"/>
          <showCatName val="1"/>
          <showPercent val="0"/>
        </dLbls>
      </pie3DChart>
    </plotArea>
    <plotVisOnly val="1"/>
    <dispBlanksAs val="gap"/>
  </chart>
</chartSpace>
</file>

<file path=xl/charts/chart10.xml><?xml version="1.0" encoding="utf-8"?>
<chartSpace xmlns="http://schemas.openxmlformats.org/drawingml/2006/chart">
  <roundedCorners val="1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% OC Área</a:t>
            </a:r>
          </a:p>
        </rich>
      </tx>
      <overlay val="0"/>
    </title>
    <plotArea>
      <pie3DChart>
        <varyColors val="1"/>
        <ser>
          <idx val="0"/>
          <order val="0"/>
          <tx>
            <strRef>
              <f>'2012 - 2026'!B2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prstDash val="solid"/>
              </a:ln>
            </spPr>
          </dPt>
          <cat>
            <numRef>
              <f>'2012 - 2026'!$A$3:$A$6</f>
            </numRef>
          </cat>
          <val>
            <numRef>
              <f>'2012 - 2026'!$B$3:$B$6</f>
            </numRef>
          </val>
        </ser>
        <dLbls>
          <showVal val="0"/>
          <showCatName val="1"/>
          <showPercent val="1"/>
        </dLbls>
      </pie3DChart>
    </plotArea>
    <plotVisOnly val="1"/>
    <dispBlanksAs val="gap"/>
  </chart>
</chartSpace>
</file>

<file path=xl/charts/chart11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Evolución OC vs HH y Utilidad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'2012 - 2026'!J2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prstDash val="solid"/>
            </a:ln>
          </spPr>
          <cat>
            <numRef>
              <f>'2012 - 2026'!$I$3:$I$17</f>
            </numRef>
          </cat>
          <val>
            <numRef>
              <f>'2012 - 2026'!$J$3:$J$17</f>
            </numRef>
          </val>
        </ser>
        <ser>
          <idx val="1"/>
          <order val="1"/>
          <tx>
            <strRef>
              <f>'2012 - 2026'!K2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'2012 - 2026'!$I$3:$I$17</f>
            </numRef>
          </cat>
          <val>
            <numRef>
              <f>'2012 - 2026'!$K$3:$K$17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  <dTable>
        <showHorzBorder val="1"/>
        <showVertBorder val="1"/>
        <showOutline val="1"/>
        <showKeys val="1"/>
      </dTable>
    </plotArea>
    <plotVisOnly val="1"/>
    <dispBlanksAs val="gap"/>
  </chart>
</chartSpace>
</file>

<file path=xl/charts/chart12.xml><?xml version="1.0" encoding="utf-8"?>
<chartSpace xmlns="http://schemas.openxmlformats.org/drawingml/2006/chart">
  <roundedCorners val="1"/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Evolución OC, Objetivos Minimos y HH+Utilidad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'2012 - 2026'!J2</f>
            </strRef>
          </tx>
          <spPr>
            <a:ln xmlns:a="http://schemas.openxmlformats.org/drawingml/2006/main">
              <a:solidFill>
                <a:srgbClr val="2375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'2012 - 2026'!$I$3:$I$17</f>
            </numRef>
          </cat>
          <val>
            <numRef>
              <f>'2012 - 2026'!$J$3:$J$17</f>
            </numRef>
          </val>
        </ser>
        <ser>
          <idx val="1"/>
          <order val="1"/>
          <tx>
            <strRef>
              <f>'2012 - 2026'!K2</f>
            </strRef>
          </tx>
          <spPr>
            <a:ln xmlns:a="http://schemas.openxmlformats.org/drawingml/2006/main">
              <a:solidFill>
                <a:srgbClr val="8FAA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'2012 - 2026'!$I$3:$I$17</f>
            </numRef>
          </cat>
          <val>
            <numRef>
              <f>'2012 - 2026'!$K$3:$K$17</f>
            </numRef>
          </val>
        </ser>
        <ser>
          <idx val="2"/>
          <order val="2"/>
          <tx>
            <strRef>
              <f>'2012 - 2026'!L2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'2012 - 2026'!$I$3:$I$17</f>
            </numRef>
          </cat>
          <val>
            <numRef>
              <f>'2012 - 2026'!$L$3:$L$17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  <dTable>
        <showHorzBorder val="1"/>
        <showVertBorder val="1"/>
        <showOutline val="1"/>
        <showKeys val="1"/>
      </dTable>
    </plotArea>
    <plotVisOnly val="1"/>
    <dispBlanksAs val="gap"/>
  </chart>
</chartSpace>
</file>

<file path=xl/charts/chart13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Evolución OC Industria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varyColors val="1"/>
        <ser>
          <idx val="0"/>
          <order val="0"/>
          <tx>
            <strRef>
              <f>'2012 - 2026'!N26</f>
            </strRef>
          </tx>
          <spPr>
            <a:ln xmlns:a="http://schemas.openxmlformats.org/drawingml/2006/main">
              <a:prstDash val="solid"/>
            </a:ln>
          </spPr>
          <cat>
            <numRef>
              <f>'2012 - 2026'!$A$27:$A$42</f>
            </numRef>
          </cat>
          <val>
            <numRef>
              <f>'2012 - 2026'!$N$27:$N$42</f>
            </numRef>
          </val>
        </ser>
        <gapWidth val="0"/>
        <gapDepth val="150"/>
        <axId val="10"/>
        <axId val="100"/>
        <axId val="1000"/>
      </bar3D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  <dTable>
        <showHorzBorder val="1"/>
        <showVertBorder val="1"/>
        <showOutline val="1"/>
        <showKeys val="1"/>
      </dTable>
    </plotArea>
    <plotVisOnly val="1"/>
    <dispBlanksAs val="gap"/>
  </chart>
</chartSpace>
</file>

<file path=xl/charts/chart14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Montos Ordenes Mes a Mes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'2012 - 2026'!A27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'2012 - 2026'!$B$26:$M$26</f>
            </numRef>
          </cat>
          <val>
            <numRef>
              <f>'2012 - 2026'!$B$27:$M$27</f>
            </numRef>
          </val>
        </ser>
        <ser>
          <idx val="1"/>
          <order val="1"/>
          <tx>
            <strRef>
              <f>'2012 - 2026'!A28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'2012 - 2026'!$B$26:$M$26</f>
            </numRef>
          </cat>
          <val>
            <numRef>
              <f>'2012 - 2026'!$B$28:$M$28</f>
            </numRef>
          </val>
        </ser>
        <ser>
          <idx val="2"/>
          <order val="2"/>
          <tx>
            <strRef>
              <f>'2012 - 2026'!A29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'2012 - 2026'!$B$26:$M$26</f>
            </numRef>
          </cat>
          <val>
            <numRef>
              <f>'2012 - 2026'!$B$29:$M$29</f>
            </numRef>
          </val>
        </ser>
        <ser>
          <idx val="3"/>
          <order val="3"/>
          <tx>
            <strRef>
              <f>'2012 - 2026'!A30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'2012 - 2026'!$B$26:$M$26</f>
            </numRef>
          </cat>
          <val>
            <numRef>
              <f>'2012 - 2026'!$B$30:$M$30</f>
            </numRef>
          </val>
        </ser>
        <ser>
          <idx val="4"/>
          <order val="4"/>
          <tx>
            <strRef>
              <f>'2012 - 2026'!A31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'2012 - 2026'!$B$26:$M$26</f>
            </numRef>
          </cat>
          <val>
            <numRef>
              <f>'2012 - 2026'!$B$31:$M$31</f>
            </numRef>
          </val>
        </ser>
        <ser>
          <idx val="5"/>
          <order val="5"/>
          <tx>
            <strRef>
              <f>'2012 - 2026'!A32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'2012 - 2026'!$B$26:$M$26</f>
            </numRef>
          </cat>
          <val>
            <numRef>
              <f>'2012 - 2026'!$B$32:$M$32</f>
            </numRef>
          </val>
        </ser>
        <ser>
          <idx val="6"/>
          <order val="6"/>
          <tx>
            <strRef>
              <f>'2012 - 2026'!A33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'2012 - 2026'!$B$26:$M$26</f>
            </numRef>
          </cat>
          <val>
            <numRef>
              <f>'2012 - 2026'!$B$33:$M$33</f>
            </numRef>
          </val>
        </ser>
        <ser>
          <idx val="7"/>
          <order val="7"/>
          <tx>
            <strRef>
              <f>'2012 - 2026'!A34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'2012 - 2026'!$B$26:$M$26</f>
            </numRef>
          </cat>
          <val>
            <numRef>
              <f>'2012 - 2026'!$B$34:$M$34</f>
            </numRef>
          </val>
        </ser>
        <ser>
          <idx val="8"/>
          <order val="8"/>
          <tx>
            <strRef>
              <f>'2012 - 2026'!A35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'2012 - 2026'!$B$26:$M$26</f>
            </numRef>
          </cat>
          <val>
            <numRef>
              <f>'2012 - 2026'!$B$35:$M$35</f>
            </numRef>
          </val>
        </ser>
        <ser>
          <idx val="9"/>
          <order val="9"/>
          <tx>
            <strRef>
              <f>'2012 - 2026'!A36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'2012 - 2026'!$B$26:$M$26</f>
            </numRef>
          </cat>
          <val>
            <numRef>
              <f>'2012 - 2026'!$B$36:$M$36</f>
            </numRef>
          </val>
        </ser>
        <ser>
          <idx val="10"/>
          <order val="10"/>
          <tx>
            <strRef>
              <f>'2012 - 2026'!A37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'2012 - 2026'!$B$26:$M$26</f>
            </numRef>
          </cat>
          <val>
            <numRef>
              <f>'2012 - 2026'!$B$37:$M$37</f>
            </numRef>
          </val>
        </ser>
        <ser>
          <idx val="11"/>
          <order val="11"/>
          <tx>
            <strRef>
              <f>'2012 - 2026'!A38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'2012 - 2026'!$B$26:$M$26</f>
            </numRef>
          </cat>
          <val>
            <numRef>
              <f>'2012 - 2026'!$B$38:$M$38</f>
            </numRef>
          </val>
        </ser>
        <ser>
          <idx val="12"/>
          <order val="12"/>
          <tx>
            <strRef>
              <f>'2012 - 2026'!A39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'2012 - 2026'!$B$26:$M$26</f>
            </numRef>
          </cat>
          <val>
            <numRef>
              <f>'2012 - 2026'!$B$39:$M$39</f>
            </numRef>
          </val>
        </ser>
        <ser>
          <idx val="13"/>
          <order val="13"/>
          <tx>
            <strRef>
              <f>'2012 - 2026'!A40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'2012 - 2026'!$B$26:$M$26</f>
            </numRef>
          </cat>
          <val>
            <numRef>
              <f>'2012 - 2026'!$B$40:$M$40</f>
            </numRef>
          </val>
        </ser>
        <ser>
          <idx val="14"/>
          <order val="14"/>
          <tx>
            <strRef>
              <f>'2012 - 2026'!A41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'2012 - 2026'!$B$26:$M$26</f>
            </numRef>
          </cat>
          <val>
            <numRef>
              <f>'2012 - 2026'!$B$41:$M$41</f>
            </numRef>
          </val>
        </ser>
        <ser>
          <idx val="15"/>
          <order val="15"/>
          <tx>
            <strRef>
              <f>'2012 - 2026'!A42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'2012 - 2026'!$B$26:$M$26</f>
            </numRef>
          </cat>
          <val>
            <numRef>
              <f>'2012 - 2026'!$B$42:$M$42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  <dTable>
        <showHorzBorder val="1"/>
        <showVertBorder val="1"/>
        <showOutline val="1"/>
        <showKeys val="1"/>
      </dTable>
    </plotArea>
    <plotVisOnly val="1"/>
    <dispBlanksAs val="gap"/>
  </chart>
</chartSpace>
</file>

<file path=xl/charts/chart15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Evolución OC Minería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varyColors val="1"/>
        <ser>
          <idx val="0"/>
          <order val="0"/>
          <tx>
            <strRef>
              <f>'2012 - 2026'!N56</f>
            </strRef>
          </tx>
          <spPr>
            <a:ln xmlns:a="http://schemas.openxmlformats.org/drawingml/2006/main">
              <a:prstDash val="solid"/>
            </a:ln>
          </spPr>
          <cat>
            <numRef>
              <f>'2012 - 2026'!$A$57:$A$72</f>
            </numRef>
          </cat>
          <val>
            <numRef>
              <f>'2012 - 2026'!$N$57:$N$72</f>
            </numRef>
          </val>
        </ser>
        <gapWidth val="0"/>
        <gapDepth val="150"/>
        <axId val="10"/>
        <axId val="100"/>
        <axId val="1000"/>
      </bar3D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  <dTable>
        <showHorzBorder val="1"/>
        <showVertBorder val="1"/>
        <showOutline val="1"/>
        <showKeys val="1"/>
      </dTable>
    </plotArea>
    <plotVisOnly val="1"/>
    <dispBlanksAs val="gap"/>
  </chart>
</chartSpace>
</file>

<file path=xl/charts/chart16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Montos Ordenes Mes a Mes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'2012 - 2026'!A57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'2012 - 2026'!$B$56:$M$56</f>
            </numRef>
          </cat>
          <val>
            <numRef>
              <f>'2012 - 2026'!$B$57:$M$57</f>
            </numRef>
          </val>
        </ser>
        <ser>
          <idx val="1"/>
          <order val="1"/>
          <tx>
            <strRef>
              <f>'2012 - 2026'!A58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'2012 - 2026'!$B$56:$M$56</f>
            </numRef>
          </cat>
          <val>
            <numRef>
              <f>'2012 - 2026'!$B$58:$M$58</f>
            </numRef>
          </val>
        </ser>
        <ser>
          <idx val="2"/>
          <order val="2"/>
          <tx>
            <strRef>
              <f>'2012 - 2026'!A59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'2012 - 2026'!$B$56:$M$56</f>
            </numRef>
          </cat>
          <val>
            <numRef>
              <f>'2012 - 2026'!$B$59:$M$59</f>
            </numRef>
          </val>
        </ser>
        <ser>
          <idx val="3"/>
          <order val="3"/>
          <tx>
            <strRef>
              <f>'2012 - 2026'!A60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'2012 - 2026'!$B$56:$M$56</f>
            </numRef>
          </cat>
          <val>
            <numRef>
              <f>'2012 - 2026'!$B$60:$M$60</f>
            </numRef>
          </val>
        </ser>
        <ser>
          <idx val="4"/>
          <order val="4"/>
          <tx>
            <strRef>
              <f>'2012 - 2026'!A61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'2012 - 2026'!$B$56:$M$56</f>
            </numRef>
          </cat>
          <val>
            <numRef>
              <f>'2012 - 2026'!$B$61:$M$61</f>
            </numRef>
          </val>
        </ser>
        <ser>
          <idx val="5"/>
          <order val="5"/>
          <tx>
            <strRef>
              <f>'2012 - 2026'!A62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'2012 - 2026'!$B$56:$M$56</f>
            </numRef>
          </cat>
          <val>
            <numRef>
              <f>'2012 - 2026'!$B$62:$M$62</f>
            </numRef>
          </val>
        </ser>
        <ser>
          <idx val="6"/>
          <order val="6"/>
          <tx>
            <strRef>
              <f>'2012 - 2026'!A63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'2012 - 2026'!$B$56:$M$56</f>
            </numRef>
          </cat>
          <val>
            <numRef>
              <f>'2012 - 2026'!$B$63:$M$63</f>
            </numRef>
          </val>
        </ser>
        <ser>
          <idx val="7"/>
          <order val="7"/>
          <tx>
            <strRef>
              <f>'2012 - 2026'!A64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'2012 - 2026'!$B$56:$M$56</f>
            </numRef>
          </cat>
          <val>
            <numRef>
              <f>'2012 - 2026'!$B$64:$M$64</f>
            </numRef>
          </val>
        </ser>
        <ser>
          <idx val="8"/>
          <order val="8"/>
          <tx>
            <strRef>
              <f>'2012 - 2026'!A65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'2012 - 2026'!$B$56:$M$56</f>
            </numRef>
          </cat>
          <val>
            <numRef>
              <f>'2012 - 2026'!$B$65:$M$65</f>
            </numRef>
          </val>
        </ser>
        <ser>
          <idx val="9"/>
          <order val="9"/>
          <tx>
            <strRef>
              <f>'2012 - 2026'!A66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'2012 - 2026'!$B$56:$M$56</f>
            </numRef>
          </cat>
          <val>
            <numRef>
              <f>'2012 - 2026'!$B$66:$M$66</f>
            </numRef>
          </val>
        </ser>
        <ser>
          <idx val="10"/>
          <order val="10"/>
          <tx>
            <strRef>
              <f>'2012 - 2026'!A67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'2012 - 2026'!$B$56:$M$56</f>
            </numRef>
          </cat>
          <val>
            <numRef>
              <f>'2012 - 2026'!$B$67:$M$67</f>
            </numRef>
          </val>
        </ser>
        <ser>
          <idx val="11"/>
          <order val="11"/>
          <tx>
            <strRef>
              <f>'2012 - 2026'!A68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'2012 - 2026'!$B$56:$M$56</f>
            </numRef>
          </cat>
          <val>
            <numRef>
              <f>'2012 - 2026'!$B$68:$M$68</f>
            </numRef>
          </val>
        </ser>
        <ser>
          <idx val="12"/>
          <order val="12"/>
          <tx>
            <strRef>
              <f>'2012 - 2026'!A69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'2012 - 2026'!$B$56:$M$56</f>
            </numRef>
          </cat>
          <val>
            <numRef>
              <f>'2012 - 2026'!$B$69:$M$69</f>
            </numRef>
          </val>
        </ser>
        <ser>
          <idx val="13"/>
          <order val="13"/>
          <tx>
            <strRef>
              <f>'2012 - 2026'!A70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'2012 - 2026'!$B$56:$M$56</f>
            </numRef>
          </cat>
          <val>
            <numRef>
              <f>'2012 - 2026'!$B$70:$M$70</f>
            </numRef>
          </val>
        </ser>
        <ser>
          <idx val="14"/>
          <order val="14"/>
          <tx>
            <strRef>
              <f>'2012 - 2026'!A71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'2012 - 2026'!$B$56:$M$56</f>
            </numRef>
          </cat>
          <val>
            <numRef>
              <f>'2012 - 2026'!$B$71:$M$71</f>
            </numRef>
          </val>
        </ser>
        <ser>
          <idx val="15"/>
          <order val="15"/>
          <tx>
            <strRef>
              <f>'2012 - 2026'!A72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'2012 - 2026'!$B$56:$M$56</f>
            </numRef>
          </cat>
          <val>
            <numRef>
              <f>'2012 - 2026'!$B$72:$M$72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  <dTable>
        <showHorzBorder val="1"/>
        <showVertBorder val="1"/>
        <showOutline val="1"/>
        <showKeys val="1"/>
      </dTable>
    </plotArea>
    <plotVisOnly val="1"/>
    <dispBlanksAs val="gap"/>
  </chart>
</chartSpace>
</file>

<file path=xl/charts/chart17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Evolución Petroquímica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varyColors val="1"/>
        <ser>
          <idx val="0"/>
          <order val="0"/>
          <tx>
            <strRef>
              <f>'2012 - 2026'!N86</f>
            </strRef>
          </tx>
          <spPr>
            <a:ln xmlns:a="http://schemas.openxmlformats.org/drawingml/2006/main">
              <a:prstDash val="solid"/>
            </a:ln>
          </spPr>
          <cat>
            <numRef>
              <f>'2012 - 2026'!$A$87:$A$102</f>
            </numRef>
          </cat>
          <val>
            <numRef>
              <f>'2012 - 2026'!$N$87:$N$102</f>
            </numRef>
          </val>
        </ser>
        <gapWidth val="0"/>
        <gapDepth val="150"/>
        <axId val="10"/>
        <axId val="100"/>
        <axId val="1000"/>
      </bar3D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  <dTable>
        <showHorzBorder val="1"/>
        <showVertBorder val="1"/>
        <showOutline val="1"/>
        <showKeys val="1"/>
      </dTable>
    </plotArea>
    <plotVisOnly val="1"/>
    <dispBlanksAs val="gap"/>
  </chart>
</chartSpace>
</file>

<file path=xl/charts/chart18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Montos Ordenes Mes a Mes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'2012 - 2026'!A87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'2012 - 2026'!$B$86:$M$86</f>
            </numRef>
          </cat>
          <val>
            <numRef>
              <f>'2012 - 2026'!$B$87:$M$87</f>
            </numRef>
          </val>
        </ser>
        <ser>
          <idx val="1"/>
          <order val="1"/>
          <tx>
            <strRef>
              <f>'2012 - 2026'!A88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'2012 - 2026'!$B$86:$M$86</f>
            </numRef>
          </cat>
          <val>
            <numRef>
              <f>'2012 - 2026'!$B$88:$M$88</f>
            </numRef>
          </val>
        </ser>
        <ser>
          <idx val="2"/>
          <order val="2"/>
          <tx>
            <strRef>
              <f>'2012 - 2026'!A89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'2012 - 2026'!$B$86:$M$86</f>
            </numRef>
          </cat>
          <val>
            <numRef>
              <f>'2012 - 2026'!$B$89:$M$89</f>
            </numRef>
          </val>
        </ser>
        <ser>
          <idx val="3"/>
          <order val="3"/>
          <tx>
            <strRef>
              <f>'2012 - 2026'!A90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'2012 - 2026'!$B$86:$M$86</f>
            </numRef>
          </cat>
          <val>
            <numRef>
              <f>'2012 - 2026'!$B$90:$M$90</f>
            </numRef>
          </val>
        </ser>
        <ser>
          <idx val="4"/>
          <order val="4"/>
          <tx>
            <strRef>
              <f>'2012 - 2026'!A91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'2012 - 2026'!$B$86:$M$86</f>
            </numRef>
          </cat>
          <val>
            <numRef>
              <f>'2012 - 2026'!$B$91:$M$91</f>
            </numRef>
          </val>
        </ser>
        <ser>
          <idx val="5"/>
          <order val="5"/>
          <tx>
            <strRef>
              <f>'2012 - 2026'!A92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'2012 - 2026'!$B$86:$M$86</f>
            </numRef>
          </cat>
          <val>
            <numRef>
              <f>'2012 - 2026'!$B$92:$M$92</f>
            </numRef>
          </val>
        </ser>
        <ser>
          <idx val="6"/>
          <order val="6"/>
          <tx>
            <strRef>
              <f>'2012 - 2026'!A93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'2012 - 2026'!$B$86:$M$86</f>
            </numRef>
          </cat>
          <val>
            <numRef>
              <f>'2012 - 2026'!$B$93:$M$93</f>
            </numRef>
          </val>
        </ser>
        <ser>
          <idx val="7"/>
          <order val="7"/>
          <tx>
            <strRef>
              <f>'2012 - 2026'!A94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'2012 - 2026'!$B$86:$M$86</f>
            </numRef>
          </cat>
          <val>
            <numRef>
              <f>'2012 - 2026'!$B$94:$M$94</f>
            </numRef>
          </val>
        </ser>
        <ser>
          <idx val="8"/>
          <order val="8"/>
          <tx>
            <strRef>
              <f>'2012 - 2026'!A95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'2012 - 2026'!$B$86:$M$86</f>
            </numRef>
          </cat>
          <val>
            <numRef>
              <f>'2012 - 2026'!$B$95:$M$95</f>
            </numRef>
          </val>
        </ser>
        <ser>
          <idx val="9"/>
          <order val="9"/>
          <tx>
            <strRef>
              <f>'2012 - 2026'!A96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'2012 - 2026'!$B$86:$M$86</f>
            </numRef>
          </cat>
          <val>
            <numRef>
              <f>'2012 - 2026'!$B$96:$M$96</f>
            </numRef>
          </val>
        </ser>
        <ser>
          <idx val="10"/>
          <order val="10"/>
          <tx>
            <strRef>
              <f>'2012 - 2026'!A97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'2012 - 2026'!$B$86:$M$86</f>
            </numRef>
          </cat>
          <val>
            <numRef>
              <f>'2012 - 2026'!$B$97:$M$97</f>
            </numRef>
          </val>
        </ser>
        <ser>
          <idx val="11"/>
          <order val="11"/>
          <tx>
            <strRef>
              <f>'2012 - 2026'!A98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'2012 - 2026'!$B$86:$M$86</f>
            </numRef>
          </cat>
          <val>
            <numRef>
              <f>'2012 - 2026'!$B$98:$M$98</f>
            </numRef>
          </val>
        </ser>
        <ser>
          <idx val="12"/>
          <order val="12"/>
          <tx>
            <strRef>
              <f>'2012 - 2026'!A99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'2012 - 2026'!$B$86:$M$86</f>
            </numRef>
          </cat>
          <val>
            <numRef>
              <f>'2012 - 2026'!$B$99:$M$99</f>
            </numRef>
          </val>
        </ser>
        <ser>
          <idx val="13"/>
          <order val="13"/>
          <tx>
            <strRef>
              <f>'2012 - 2026'!A100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'2012 - 2026'!$B$86:$M$86</f>
            </numRef>
          </cat>
          <val>
            <numRef>
              <f>'2012 - 2026'!$B$100:$M$100</f>
            </numRef>
          </val>
        </ser>
        <ser>
          <idx val="14"/>
          <order val="14"/>
          <tx>
            <strRef>
              <f>'2012 - 2026'!A101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'2012 - 2026'!$B$86:$M$86</f>
            </numRef>
          </cat>
          <val>
            <numRef>
              <f>'2012 - 2026'!$B$101:$M$101</f>
            </numRef>
          </val>
        </ser>
        <ser>
          <idx val="15"/>
          <order val="15"/>
          <tx>
            <strRef>
              <f>'2012 - 2026'!A102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'2012 - 2026'!$B$86:$M$86</f>
            </numRef>
          </cat>
          <val>
            <numRef>
              <f>'2012 - 2026'!$B$102:$M$102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  <dTable>
        <showHorzBorder val="1"/>
        <showVertBorder val="1"/>
        <showOutline val="1"/>
        <showKeys val="1"/>
      </dTable>
    </plotArea>
    <plotVisOnly val="1"/>
    <dispBlanksAs val="gap"/>
  </chart>
</chartSpace>
</file>

<file path=xl/charts/chart19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Evolución Anual Safety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varyColors val="1"/>
        <ser>
          <idx val="0"/>
          <order val="0"/>
          <tx>
            <strRef>
              <f>'2012 - 2026'!N116</f>
            </strRef>
          </tx>
          <spPr>
            <a:ln xmlns:a="http://schemas.openxmlformats.org/drawingml/2006/main">
              <a:prstDash val="solid"/>
            </a:ln>
          </spPr>
          <cat>
            <numRef>
              <f>'2012 - 2026'!$A$117:$A$132</f>
            </numRef>
          </cat>
          <val>
            <numRef>
              <f>'2012 - 2026'!$N$117:$N$132</f>
            </numRef>
          </val>
        </ser>
        <gapWidth val="0"/>
        <gapDepth val="150"/>
        <axId val="10"/>
        <axId val="100"/>
        <axId val="1000"/>
      </bar3D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  <dTable>
        <showHorzBorder val="1"/>
        <showVertBorder val="1"/>
        <showOutline val="1"/>
        <showKeys val="1"/>
      </dTable>
    </plotArea>
    <plotVisOnly val="1"/>
    <dispBlanksAs val="gap"/>
  </chart>
</chartSpace>
</file>

<file path=xl/charts/chart20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Montos Ordenes Mes a Mes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'2012 - 2026'!A117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'2012 - 2026'!$B$116:$M$116</f>
            </numRef>
          </cat>
          <val>
            <numRef>
              <f>'2012 - 2026'!$B$117:$M$117</f>
            </numRef>
          </val>
        </ser>
        <ser>
          <idx val="1"/>
          <order val="1"/>
          <tx>
            <strRef>
              <f>'2012 - 2026'!A118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'2012 - 2026'!$B$116:$M$116</f>
            </numRef>
          </cat>
          <val>
            <numRef>
              <f>'2012 - 2026'!$B$118:$M$118</f>
            </numRef>
          </val>
        </ser>
        <ser>
          <idx val="2"/>
          <order val="2"/>
          <tx>
            <strRef>
              <f>'2012 - 2026'!A119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'2012 - 2026'!$B$116:$M$116</f>
            </numRef>
          </cat>
          <val>
            <numRef>
              <f>'2012 - 2026'!$B$119:$M$119</f>
            </numRef>
          </val>
        </ser>
        <ser>
          <idx val="3"/>
          <order val="3"/>
          <tx>
            <strRef>
              <f>'2012 - 2026'!A120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'2012 - 2026'!$B$116:$M$116</f>
            </numRef>
          </cat>
          <val>
            <numRef>
              <f>'2012 - 2026'!$B$120:$M$120</f>
            </numRef>
          </val>
        </ser>
        <ser>
          <idx val="4"/>
          <order val="4"/>
          <tx>
            <strRef>
              <f>'2012 - 2026'!A121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'2012 - 2026'!$B$116:$M$116</f>
            </numRef>
          </cat>
          <val>
            <numRef>
              <f>'2012 - 2026'!$B$121:$M$121</f>
            </numRef>
          </val>
        </ser>
        <ser>
          <idx val="5"/>
          <order val="5"/>
          <tx>
            <strRef>
              <f>'2012 - 2026'!A122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'2012 - 2026'!$B$116:$M$116</f>
            </numRef>
          </cat>
          <val>
            <numRef>
              <f>'2012 - 2026'!$B$122:$M$122</f>
            </numRef>
          </val>
        </ser>
        <ser>
          <idx val="6"/>
          <order val="6"/>
          <tx>
            <strRef>
              <f>'2012 - 2026'!A123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'2012 - 2026'!$B$116:$M$116</f>
            </numRef>
          </cat>
          <val>
            <numRef>
              <f>'2012 - 2026'!$B$123:$M$123</f>
            </numRef>
          </val>
        </ser>
        <ser>
          <idx val="7"/>
          <order val="7"/>
          <tx>
            <strRef>
              <f>'2012 - 2026'!A124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'2012 - 2026'!$B$116:$M$116</f>
            </numRef>
          </cat>
          <val>
            <numRef>
              <f>'2012 - 2026'!$B$124:$M$124</f>
            </numRef>
          </val>
        </ser>
        <ser>
          <idx val="8"/>
          <order val="8"/>
          <tx>
            <strRef>
              <f>'2012 - 2026'!A125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'2012 - 2026'!$B$116:$M$116</f>
            </numRef>
          </cat>
          <val>
            <numRef>
              <f>'2012 - 2026'!$B$125:$M$125</f>
            </numRef>
          </val>
        </ser>
        <ser>
          <idx val="9"/>
          <order val="9"/>
          <tx>
            <strRef>
              <f>'2012 - 2026'!A126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'2012 - 2026'!$B$116:$M$116</f>
            </numRef>
          </cat>
          <val>
            <numRef>
              <f>'2012 - 2026'!$B$126:$M$126</f>
            </numRef>
          </val>
        </ser>
        <ser>
          <idx val="10"/>
          <order val="10"/>
          <tx>
            <strRef>
              <f>'2012 - 2026'!A127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'2012 - 2026'!$B$116:$M$116</f>
            </numRef>
          </cat>
          <val>
            <numRef>
              <f>'2012 - 2026'!$B$127:$M$127</f>
            </numRef>
          </val>
        </ser>
        <ser>
          <idx val="11"/>
          <order val="11"/>
          <tx>
            <strRef>
              <f>'2012 - 2026'!A128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'2012 - 2026'!$B$116:$M$116</f>
            </numRef>
          </cat>
          <val>
            <numRef>
              <f>'2012 - 2026'!$B$128:$M$128</f>
            </numRef>
          </val>
        </ser>
        <ser>
          <idx val="12"/>
          <order val="12"/>
          <tx>
            <strRef>
              <f>'2012 - 2026'!A129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'2012 - 2026'!$B$116:$M$116</f>
            </numRef>
          </cat>
          <val>
            <numRef>
              <f>'2012 - 2026'!$B$129:$M$129</f>
            </numRef>
          </val>
        </ser>
        <ser>
          <idx val="13"/>
          <order val="13"/>
          <tx>
            <strRef>
              <f>'2012 - 2026'!A130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'2012 - 2026'!$B$116:$M$116</f>
            </numRef>
          </cat>
          <val>
            <numRef>
              <f>'2012 - 2026'!$B$130:$M$130</f>
            </numRef>
          </val>
        </ser>
        <ser>
          <idx val="14"/>
          <order val="14"/>
          <tx>
            <strRef>
              <f>'2012 - 2026'!A131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'2012 - 2026'!$B$116:$M$116</f>
            </numRef>
          </cat>
          <val>
            <numRef>
              <f>'2012 - 2026'!$B$131:$M$131</f>
            </numRef>
          </val>
        </ser>
        <ser>
          <idx val="15"/>
          <order val="15"/>
          <tx>
            <strRef>
              <f>'2012 - 2026'!A132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'2012 - 2026'!$B$116:$M$116</f>
            </numRef>
          </cat>
          <val>
            <numRef>
              <f>'2012 - 2026'!$B$132:$M$132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  <dTable>
        <showHorzBorder val="1"/>
        <showVertBorder val="1"/>
        <showOutline val="1"/>
        <showKeys val="1"/>
      </dTable>
    </plotArea>
    <plotVisOnly val="1"/>
    <dispBlanksAs val="gap"/>
  </chart>
</chartSpace>
</file>

<file path=xl/charts/chart21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Evolución OC Mensual 2026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'2012 - 2026'!B146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'2012 - 2026'!$A$147:$A$158</f>
            </numRef>
          </cat>
          <val>
            <numRef>
              <f>'2012 - 2026'!$B$147:$B$158</f>
            </numRef>
          </val>
        </ser>
        <dLbls>
          <numFmt formatCode="$ #,##0.00"/>
          <showLegendKey val="0"/>
          <showVal val="1"/>
          <showCatName val="0"/>
          <showSerName val="0"/>
          <showPercent val="0"/>
        </dLbls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</chartSpace>
</file>

<file path=xl/charts/chart22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Evolución OC Mensual Minería 2026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'2012 - 2026'!C146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'2012 - 2026'!$A$147:$A$158</f>
            </numRef>
          </cat>
          <val>
            <numRef>
              <f>'2012 - 2026'!$C$147:$C$158</f>
            </numRef>
          </val>
        </ser>
        <dLbls>
          <numFmt formatCode="$ #,##0.00"/>
          <showLegendKey val="0"/>
          <showVal val="1"/>
          <showCatName val="0"/>
          <showSerName val="0"/>
          <showPercent val="0"/>
        </dLbls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</chartSpace>
</file>

<file path=xl/charts/chart23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Evolución OC Mensual Industria 2026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'2012 - 2026'!D146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prstDash val="solid"/>
            </a:ln>
          </spPr>
          <cat>
            <numRef>
              <f>'2012 - 2026'!$A$147:$A$158</f>
            </numRef>
          </cat>
          <val>
            <numRef>
              <f>'2012 - 2026'!$D$147:$D$158</f>
            </numRef>
          </val>
        </ser>
        <dLbls>
          <numFmt formatCode="$ #,##0.00"/>
          <showLegendKey val="0"/>
          <showVal val="1"/>
          <showCatName val="0"/>
          <showSerName val="0"/>
          <showPercent val="0"/>
        </dLbls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</chartSpace>
</file>

<file path=xl/charts/chart24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Evolución OC Mensual Petroquímica 2026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'2012 - 2026'!E146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prstDash val="solid"/>
            </a:ln>
          </spPr>
          <cat>
            <numRef>
              <f>'2012 - 2026'!$A$147:$A$158</f>
            </numRef>
          </cat>
          <val>
            <numRef>
              <f>'2012 - 2026'!$E$147:$E$158</f>
            </numRef>
          </val>
        </ser>
        <dLbls>
          <numFmt formatCode="$ #,##0.00"/>
          <showLegendKey val="0"/>
          <showVal val="1"/>
          <showCatName val="0"/>
          <showSerName val="0"/>
          <showPercent val="0"/>
        </dLbls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</chartSpace>
</file>

<file path=xl/charts/chart25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Evolución OC Mensual Safety 2026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'2012 - 2026'!F146</f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prstDash val="solid"/>
            </a:ln>
          </spPr>
          <cat>
            <numRef>
              <f>'2012 - 2026'!$A$147:$A$158</f>
            </numRef>
          </cat>
          <val>
            <numRef>
              <f>'2012 - 2026'!$F$147:$F$158</f>
            </numRef>
          </val>
        </ser>
        <dLbls>
          <numFmt formatCode="$ #,##0.00"/>
          <showLegendKey val="0"/>
          <showVal val="1"/>
          <showCatName val="0"/>
          <showSerName val="0"/>
          <showPercent val="0"/>
        </dLbls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</chartSpace>
</file>

<file path=xl/charts/chart26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Monto Logrado por Año HH+UTILIDAD</a:t>
            </a:r>
          </a:p>
        </rich>
      </tx>
      <overlay val="0"/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'Objetivos'!M2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'Objetivos'!$L$3:$L$15</f>
            </numRef>
          </cat>
          <val>
            <numRef>
              <f>'Objetivos'!$M$3:$M$15</f>
            </numRef>
          </val>
        </ser>
        <dLbls>
          <numFmt formatCode="$ #,##0.00"/>
          <showLegendKey val="0"/>
          <showVal val="1"/>
          <showCatName val="0"/>
          <showSerName val="0"/>
          <showPercent val="0"/>
        </dLbls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</chartSpace>
</file>

<file path=xl/charts/chart27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Avance objetivo Máximo al Mes en curso (8/12)</a:t>
            </a:r>
          </a:p>
        </rich>
      </tx>
      <overlay val="0"/>
    </title>
    <view3D>
      <rotX val="10"/>
      <rotY val="40"/>
      <depthPercent val="130"/>
      <rAngAx val="0"/>
      <perspective val="0"/>
    </view3D>
    <floor/>
    <sideWall/>
    <backWall/>
    <plotArea>
      <bar3DChart>
        <barDir val="col"/>
        <grouping val="stacked"/>
        <ser>
          <idx val="0"/>
          <order val="0"/>
          <tx>
            <strRef>
              <f>'Objetivos'!B14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FF99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CE4D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0F7F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2D5F3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C6E0B4"/>
              </a:solidFill>
              <a:ln xmlns:a="http://schemas.openxmlformats.org/drawingml/2006/main">
                <a:prstDash val="solid"/>
              </a:ln>
            </spPr>
          </dPt>
          <cat>
            <numRef>
              <f>'Objetivos'!$A$15:$A$19</f>
            </numRef>
          </cat>
          <val>
            <numRef>
              <f>'Objetivos'!$B$15:$B$19</f>
            </numRef>
          </val>
        </ser>
        <ser>
          <idx val="1"/>
          <order val="1"/>
          <tx>
            <strRef>
              <f>'Objetivos'!C14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8B17F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DFD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19CD9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93C588"/>
              </a:solidFill>
              <a:ln xmlns:a="http://schemas.openxmlformats.org/drawingml/2006/main">
                <a:prstDash val="solid"/>
              </a:ln>
            </spPr>
          </dPt>
          <cat>
            <numRef>
              <f>'Objetivos'!$A$15:$A$19</f>
            </numRef>
          </cat>
          <val>
            <numRef>
              <f>'Objetivos'!$C$15:$C$19</f>
            </numRef>
          </val>
        </ser>
        <dLbls>
          <numFmt formatCode="0%"/>
          <showLegendKey val="0"/>
          <showVal val="1"/>
          <showCatName val="0"/>
          <showSerName val="0"/>
          <showPercent val="0"/>
        </dLbls>
        <gapWidth val="150"/>
        <gapDepth val="150"/>
        <shape val="cylinder"/>
        <axId val="10"/>
        <axId val="100"/>
        <axId val="1000"/>
      </bar3D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</chartSpace>
</file>

<file path=xl/charts/chart28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Avance objetivo Mínimo al Mes en curso (8/12)</a:t>
            </a:r>
          </a:p>
        </rich>
      </tx>
      <overlay val="0"/>
    </title>
    <view3D>
      <rotX val="10"/>
      <rotY val="40"/>
      <depthPercent val="130"/>
      <rAngAx val="0"/>
      <perspective val="0"/>
    </view3D>
    <floor/>
    <sideWall/>
    <backWall/>
    <plotArea>
      <bar3DChart>
        <barDir val="col"/>
        <grouping val="stacked"/>
        <ser>
          <idx val="0"/>
          <order val="0"/>
          <tx>
            <strRef>
              <f>'Objetivos'!D14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FF99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CE4D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0F7F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2D5F3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C6E0B4"/>
              </a:solidFill>
              <a:ln xmlns:a="http://schemas.openxmlformats.org/drawingml/2006/main">
                <a:prstDash val="solid"/>
              </a:ln>
            </spPr>
          </dPt>
          <cat>
            <numRef>
              <f>'Objetivos'!$A$15:$A$19</f>
            </numRef>
          </cat>
          <val>
            <numRef>
              <f>'Objetivos'!$D$15:$D$19</f>
            </numRef>
          </val>
        </ser>
        <ser>
          <idx val="1"/>
          <order val="1"/>
          <tx>
            <strRef>
              <f>'Objetivos'!E14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8B17F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DFD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19CD9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93C588"/>
              </a:solidFill>
              <a:ln xmlns:a="http://schemas.openxmlformats.org/drawingml/2006/main">
                <a:prstDash val="solid"/>
              </a:ln>
            </spPr>
          </dPt>
          <cat>
            <numRef>
              <f>'Objetivos'!$A$15:$A$19</f>
            </numRef>
          </cat>
          <val>
            <numRef>
              <f>'Objetivos'!$E$15:$E$19</f>
            </numRef>
          </val>
        </ser>
        <dLbls>
          <numFmt formatCode="0%"/>
          <showLegendKey val="0"/>
          <showVal val="1"/>
          <showCatName val="0"/>
          <showSerName val="0"/>
          <showPercent val="0"/>
        </dLbls>
        <gapWidth val="150"/>
        <gapDepth val="150"/>
        <shape val="cylinder"/>
        <axId val="10"/>
        <axId val="100"/>
        <axId val="1000"/>
      </bar3D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</chartSpace>
</file>

<file path=xl/charts/chart29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Calibri"/>
              </a:defRPr>
            </a:pPr>
            <a:r>
              <a:t>AVANCE CON RESPECTO AL MÍNIMO ANUAL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08"/>
          <y val="0.1"/>
          <w val="0.84"/>
          <h val="0.72"/>
        </manualLayout>
      </layout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3757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2E8F0"/>
              </a:solidFill>
              <a:ln xmlns:a="http://schemas.openxmlformats.org/drawingml/2006/main">
                <a:prstDash val="solid"/>
              </a:ln>
            </spPr>
          </dPt>
          <cat>
            <numRef>
              <f>'Objetivos'!$C$39:$D$39</f>
            </numRef>
          </cat>
          <val>
            <numRef>
              <f>'Objetivos'!$C$40:$D$40</f>
            </numRef>
          </val>
        </ser>
        <dLbls>
          <showLegendKey val="1"/>
          <showVal val="1"/>
          <showCatName val="0"/>
          <showSerName val="0"/>
          <showPercent val="0"/>
        </dLbls>
      </pie3DChart>
    </plotArea>
    <legend>
      <legendPos val="b"/>
      <overlay val="1"/>
    </legend>
    <plotVisOnly val="1"/>
    <dispBlanksAs val="gap"/>
  </chart>
</chartSpace>
</file>

<file path=xl/charts/chart30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Calibri"/>
              </a:defRPr>
            </a:pPr>
            <a:r>
              <a:t>AVANCE CON RESPECTO AL MÁXIMO ANUAL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08"/>
          <y val="0.1"/>
          <w val="0.84"/>
          <h val="0.72"/>
        </manualLayout>
      </layout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3757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2E8F0"/>
              </a:solidFill>
              <a:ln xmlns:a="http://schemas.openxmlformats.org/drawingml/2006/main">
                <a:prstDash val="solid"/>
              </a:ln>
            </spPr>
          </dPt>
          <cat>
            <numRef>
              <f>'Objetivos'!$C$39:$D$39</f>
            </numRef>
          </cat>
          <val>
            <numRef>
              <f>'Objetivos'!$C$41:$D$41</f>
            </numRef>
          </val>
        </ser>
        <dLbls>
          <showLegendKey val="1"/>
          <showVal val="1"/>
          <showCatName val="0"/>
          <showSerName val="0"/>
          <showPercent val="0"/>
        </dLbls>
      </pie3DChart>
    </plotArea>
    <legend>
      <legendPos val="b"/>
      <overlay val="1"/>
    </legend>
    <plotVisOnly val="1"/>
    <dispBlanksAs val="gap"/>
  </chart>
</chartSpace>
</file>

<file path=xl/charts/chart31.xml><?xml version="1.0" encoding="utf-8"?>
<chartSpace xmlns="http://schemas.openxmlformats.org/drawingml/2006/chart">
  <roundedCorners val="1"/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libri"/>
              </a:defRPr>
            </a:pPr>
            <a:r>
              <a:t>Seguimiento Objetivo Comercial</a:t>
            </a:r>
          </a:p>
        </rich>
      </tx>
      <overlay val="0"/>
    </title>
    <view3D>
      <rotX val="10"/>
      <rotY val="40"/>
      <depthPercent val="130"/>
      <rAngAx val="0"/>
      <perspective val="0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'Objetivos Com.'!C29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prstDash val="solid"/>
            </a:ln>
          </spPr>
          <cat>
            <numRef>
              <f>'Objetivos Com.'!$B$30:$B$33</f>
            </numRef>
          </cat>
          <val>
            <numRef>
              <f>'Objetivos Com.'!$C$30:$C$33</f>
            </numRef>
          </val>
        </ser>
        <ser>
          <idx val="1"/>
          <order val="1"/>
          <tx>
            <strRef>
              <f>'Objetivos Com.'!D29</f>
            </strRef>
          </tx>
          <spPr>
            <a:solidFill xmlns:a="http://schemas.openxmlformats.org/drawingml/2006/main">
              <a:srgbClr val="237573"/>
            </a:solidFill>
            <a:ln xmlns:a="http://schemas.openxmlformats.org/drawingml/2006/main">
              <a:prstDash val="solid"/>
            </a:ln>
          </spPr>
          <cat>
            <numRef>
              <f>'Objetivos Com.'!$B$30:$B$33</f>
            </numRef>
          </cat>
          <val>
            <numRef>
              <f>'Objetivos Com.'!$D$30:$D$33</f>
            </numRef>
          </val>
        </ser>
        <dLbls>
          <numFmt formatCode="$ #,##0.00"/>
          <showLegendKey val="0"/>
          <showVal val="1"/>
          <showCatName val="0"/>
          <showSerName val="0"/>
          <showPercent val="0"/>
        </dLbls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chart" Target="/xl/charts/chart19.xml" Id="rId10"/><Relationship Type="http://schemas.openxmlformats.org/officeDocument/2006/relationships/chart" Target="/xl/charts/chart20.xml" Id="rId11"/><Relationship Type="http://schemas.openxmlformats.org/officeDocument/2006/relationships/chart" Target="/xl/charts/chart21.xml" Id="rId12"/><Relationship Type="http://schemas.openxmlformats.org/officeDocument/2006/relationships/chart" Target="/xl/charts/chart22.xml" Id="rId13"/><Relationship Type="http://schemas.openxmlformats.org/officeDocument/2006/relationships/chart" Target="/xl/charts/chart23.xml" Id="rId14"/><Relationship Type="http://schemas.openxmlformats.org/officeDocument/2006/relationships/chart" Target="/xl/charts/chart24.xml" Id="rId15"/><Relationship Type="http://schemas.openxmlformats.org/officeDocument/2006/relationships/chart" Target="/xl/charts/chart25.xml" Id="rId16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6.xml" Id="rId1"/><Relationship Type="http://schemas.openxmlformats.org/officeDocument/2006/relationships/chart" Target="/xl/charts/chart27.xml" Id="rId2"/><Relationship Type="http://schemas.openxmlformats.org/officeDocument/2006/relationships/chart" Target="/xl/charts/chart28.xml" Id="rId3"/><Relationship Type="http://schemas.openxmlformats.org/officeDocument/2006/relationships/chart" Target="/xl/charts/chart29.xml" Id="rId4"/><Relationship Type="http://schemas.openxmlformats.org/officeDocument/2006/relationships/chart" Target="/xl/charts/chart30.xml" Id="rId5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1</row>
      <rowOff>0</rowOff>
    </from>
    <ext cx="8784000" cy="4463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33</col>
      <colOff>0</colOff>
      <row>1</row>
      <rowOff>0</rowOff>
    </from>
    <ext cx="6516000" cy="41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27</row>
      <rowOff>0</rowOff>
    </from>
    <ext cx="576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17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29</col>
      <colOff>0</colOff>
      <row>1</row>
      <rowOff>0</rowOff>
    </from>
    <ext cx="61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25</row>
      <rowOff>0</rowOff>
    </from>
    <ext cx="576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17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29</col>
      <colOff>0</colOff>
      <row>1</row>
      <rowOff>0</rowOff>
    </from>
    <ext cx="61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25</row>
      <rowOff>0</rowOff>
    </from>
    <ext cx="576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30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</row>
      <rowOff>0</rowOff>
    </from>
    <ext cx="9648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31</col>
      <colOff>0</colOff>
      <row>1</row>
      <rowOff>0</rowOff>
    </from>
    <ext cx="9648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7632000" cy="32436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29</col>
      <colOff>0</colOff>
      <row>25</row>
      <rowOff>0</rowOff>
    </from>
    <ext cx="12142799" cy="513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55</row>
      <rowOff>0</rowOff>
    </from>
    <ext cx="7632000" cy="32436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29</col>
      <colOff>0</colOff>
      <row>55</row>
      <rowOff>0</rowOff>
    </from>
    <ext cx="12142799" cy="513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15</col>
      <colOff>0</colOff>
      <row>85</row>
      <rowOff>0</rowOff>
    </from>
    <ext cx="7632000" cy="32436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29</col>
      <colOff>0</colOff>
      <row>85</row>
      <rowOff>0</rowOff>
    </from>
    <ext cx="12142799" cy="513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15</col>
      <colOff>0</colOff>
      <row>115</row>
      <rowOff>0</rowOff>
    </from>
    <ext cx="7632000" cy="32436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29</col>
      <colOff>0</colOff>
      <row>115</row>
      <rowOff>0</rowOff>
    </from>
    <ext cx="12142799" cy="513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</col>
      <colOff>0</colOff>
      <row>145</row>
      <rowOff>0</rowOff>
    </from>
    <ext cx="7632000" cy="36252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166</row>
      <rowOff>0</rowOff>
    </from>
    <ext cx="540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7</col>
      <colOff>0</colOff>
      <row>166</row>
      <rowOff>0</rowOff>
    </from>
    <ext cx="540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166</row>
      <rowOff>0</rowOff>
    </from>
    <ext cx="540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27</col>
      <colOff>0</colOff>
      <row>166</row>
      <rowOff>0</rowOff>
    </from>
    <ext cx="5400000" cy="27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38</row>
      <rowOff>0</rowOff>
    </from>
    <ext cx="396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9</col>
      <colOff>0</colOff>
      <row>38</row>
      <rowOff>0</rowOff>
    </from>
    <ext cx="39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28</row>
      <rowOff>0</rowOff>
    </from>
    <ext cx="59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86" customWidth="1" min="3" max="3"/>
    <col width="135" customWidth="1" min="4" max="4"/>
    <col width="13" customWidth="1" min="5" max="5"/>
    <col width="16" customWidth="1" min="6" max="6"/>
    <col width="22" customWidth="1" min="7" max="7"/>
    <col width="21" customWidth="1" min="8" max="8"/>
    <col width="18" customWidth="1" min="9" max="9"/>
    <col width="18" customWidth="1" min="10" max="10"/>
    <col width="18" customWidth="1" min="11" max="11"/>
    <col width="14" customWidth="1" min="12" max="12"/>
    <col width="12" customWidth="1" min="13" max="13"/>
    <col width="35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ORDENES DE COMPRA MINERÍA</t>
        </is>
      </c>
    </row>
    <row r="2">
      <c r="A2" s="2" t="inlineStr">
        <is>
          <t>CÓDIGO</t>
        </is>
      </c>
      <c r="B2" s="2" t="inlineStr">
        <is>
          <t>CLIENTES</t>
        </is>
      </c>
      <c r="C2" s="2" t="inlineStr">
        <is>
          <t>Nº Orden</t>
        </is>
      </c>
      <c r="D2" s="2" t="inlineStr">
        <is>
          <t>PROYECTO</t>
        </is>
      </c>
      <c r="E2" s="2" t="inlineStr">
        <is>
          <t>FECHA O/C</t>
        </is>
      </c>
      <c r="F2" s="2" t="inlineStr">
        <is>
          <t>FECHA ENTREGA</t>
        </is>
      </c>
      <c r="G2" s="2" t="inlineStr">
        <is>
          <t>VALOR PRESUPUESTO $</t>
        </is>
      </c>
      <c r="H2" s="2" t="inlineStr">
        <is>
          <t>COSTO</t>
        </is>
      </c>
      <c r="I2" s="2" t="inlineStr">
        <is>
          <t>HH Propia</t>
        </is>
      </c>
      <c r="J2" s="2" t="inlineStr">
        <is>
          <t>IMPREVISTOS</t>
        </is>
      </c>
      <c r="K2" s="2" t="inlineStr">
        <is>
          <t>UTILIDAD</t>
        </is>
      </c>
      <c r="L2" s="2" t="inlineStr">
        <is>
          <t>Personal</t>
        </is>
      </c>
      <c r="M2" s="3" t="n"/>
      <c r="N2" s="2" t="inlineStr">
        <is>
          <t>Empresa</t>
        </is>
      </c>
      <c r="O2" s="2" t="inlineStr">
        <is>
          <t>Monto O/C</t>
        </is>
      </c>
      <c r="P2" s="2" t="inlineStr">
        <is>
          <t>Cantidad</t>
        </is>
      </c>
      <c r="Q2" s="3" t="n"/>
    </row>
    <row r="3">
      <c r="A3" s="4" t="inlineStr">
        <is>
          <t>222023A-ANGQ-P</t>
        </is>
      </c>
      <c r="B3" s="4" t="inlineStr">
        <is>
          <t>ANGLO AMERICAN QUELLAVECO S.A.</t>
        </is>
      </c>
      <c r="C3" s="4" t="inlineStr">
        <is>
          <t>2MAY3279-CON-0001_05</t>
        </is>
      </c>
      <c r="D3" s="4" t="inlineStr">
        <is>
          <t>2.MAY.3279 Mantenimiento de Redes de Comunicación Industrial, Componentes del Sistema de Control y Sistema de Monitoreo de Condición</t>
        </is>
      </c>
      <c r="E3" s="5" t="n">
        <v>46008</v>
      </c>
      <c r="F3" s="5" t="n">
        <v>45908</v>
      </c>
      <c r="G3" s="6" t="n">
        <v>521378.4</v>
      </c>
      <c r="H3" s="6" t="n">
        <v>228130.1</v>
      </c>
      <c r="I3" s="6" t="n">
        <v>237615</v>
      </c>
      <c r="J3" s="6" t="n">
        <v>0</v>
      </c>
      <c r="K3" s="6" t="n">
        <v>55633.3</v>
      </c>
      <c r="L3" s="4" t="inlineStr">
        <is>
          <t>Eduardo</t>
        </is>
      </c>
      <c r="M3" s="3" t="n"/>
      <c r="N3" s="7" t="inlineStr">
        <is>
          <t>ANGLO AMERICAN QUELLAVECO S.A.</t>
        </is>
      </c>
      <c r="O3" s="8">
        <f>SUMIF(B:B,"ANGLO AMERICAN QUELLAVECO S.A.",G:G)</f>
        <v/>
      </c>
      <c r="P3" s="9">
        <f>COUNTIF(B:B,"ANGLO AMERICAN QUELLAVECO S.A.")</f>
        <v/>
      </c>
      <c r="Q3" s="3" t="n"/>
    </row>
    <row r="4">
      <c r="A4" s="10" t="inlineStr">
        <is>
          <t>262003A-PREP-S</t>
        </is>
      </c>
      <c r="B4" s="10" t="inlineStr">
        <is>
          <t>Precision Peru SA</t>
        </is>
      </c>
      <c r="C4" s="10" t="inlineStr">
        <is>
          <t>5000</t>
        </is>
      </c>
      <c r="D4" s="10" t="inlineStr">
        <is>
          <t>Servicio de técnicos perfil eléctrico.</t>
        </is>
      </c>
      <c r="E4" s="11" t="n">
        <v>46020</v>
      </c>
      <c r="F4" s="11" t="n">
        <v>46047</v>
      </c>
      <c r="G4" s="12" t="n">
        <v>1992.68</v>
      </c>
      <c r="H4" s="12" t="n">
        <v>734</v>
      </c>
      <c r="I4" s="12" t="n">
        <v>1092</v>
      </c>
      <c r="J4" s="12" t="n">
        <v>0</v>
      </c>
      <c r="K4" s="12" t="n">
        <v>166.68</v>
      </c>
      <c r="L4" s="10" t="inlineStr">
        <is>
          <t>Eduardo</t>
        </is>
      </c>
      <c r="M4" s="3" t="n"/>
      <c r="N4" s="7" t="inlineStr">
        <is>
          <t>Compañía Minera Poderosa SA</t>
        </is>
      </c>
      <c r="O4" s="8">
        <f>SUMIF(B:B,"Compañía Minera Poderosa SA",G:G)</f>
        <v/>
      </c>
      <c r="P4" s="9">
        <f>COUNTIF(B:B,"Compañía Minera Poderosa SA")</f>
        <v/>
      </c>
      <c r="Q4" s="3" t="n"/>
    </row>
    <row r="5">
      <c r="A5" s="4" t="inlineStr">
        <is>
          <t>262010A-PREP-V</t>
        </is>
      </c>
      <c r="B5" s="4" t="inlineStr">
        <is>
          <t>Precision Peru SA</t>
        </is>
      </c>
      <c r="C5" s="4" t="inlineStr">
        <is>
          <t>5064</t>
        </is>
      </c>
      <c r="D5" s="4" t="inlineStr">
        <is>
          <t>Equipo de protección personal - adicional</t>
        </is>
      </c>
      <c r="E5" s="5" t="n">
        <v>46034</v>
      </c>
      <c r="F5" s="5" t="n">
        <v>46034</v>
      </c>
      <c r="G5" s="6" t="n">
        <v>164.4880952380952</v>
      </c>
      <c r="H5" s="6" t="n">
        <v>164.4880952380952</v>
      </c>
      <c r="I5" s="6" t="n">
        <v>0</v>
      </c>
      <c r="J5" s="6" t="n">
        <v>0</v>
      </c>
      <c r="K5" s="6" t="n">
        <v>0</v>
      </c>
      <c r="L5" s="4" t="inlineStr">
        <is>
          <t>Eduardo</t>
        </is>
      </c>
      <c r="M5" s="3" t="n"/>
      <c r="N5" s="7" t="inlineStr">
        <is>
          <t>MARCOBRE S.A.C.</t>
        </is>
      </c>
      <c r="O5" s="8">
        <f>SUMIF(B:B,"MARCOBRE S.A.C.",G:G)</f>
        <v/>
      </c>
      <c r="P5" s="9">
        <f>COUNTIF(B:B,"MARCOBRE S.A.C.")</f>
        <v/>
      </c>
      <c r="Q5" s="3" t="n"/>
    </row>
    <row r="6">
      <c r="A6" s="10" t="inlineStr">
        <is>
          <t>262016B-SHA-V</t>
        </is>
      </c>
      <c r="B6" s="10" t="inlineStr">
        <is>
          <t>SHAHUINDO S.A.C.</t>
        </is>
      </c>
      <c r="C6" s="10" t="inlineStr">
        <is>
          <t>49857</t>
        </is>
      </c>
      <c r="D6" s="10" t="inlineStr">
        <is>
          <t>LUMINARIA MODELO SOLARIS  SOLICITUD 177391</t>
        </is>
      </c>
      <c r="E6" s="11" t="n">
        <v>46048</v>
      </c>
      <c r="F6" s="11" t="n">
        <v>46108</v>
      </c>
      <c r="G6" s="12" t="n">
        <v>29680</v>
      </c>
      <c r="H6" s="12" t="n">
        <v>26500</v>
      </c>
      <c r="I6" s="12" t="n">
        <v>0</v>
      </c>
      <c r="J6" s="12" t="n">
        <v>0</v>
      </c>
      <c r="K6" s="12" t="n">
        <v>3180</v>
      </c>
      <c r="L6" s="10" t="inlineStr">
        <is>
          <t>Eduardo</t>
        </is>
      </c>
      <c r="M6" s="3" t="n"/>
      <c r="N6" s="7" t="inlineStr">
        <is>
          <t>MINERA LAS BAMBAS S.A.</t>
        </is>
      </c>
      <c r="O6" s="8">
        <f>SUMIF(B:B,"MINERA LAS BAMBAS S.A.",G:G)</f>
        <v/>
      </c>
      <c r="P6" s="9">
        <f>COUNTIF(B:B,"MINERA LAS BAMBAS S.A.")</f>
        <v/>
      </c>
      <c r="Q6" s="3" t="n"/>
    </row>
    <row r="7">
      <c r="A7" s="4" t="inlineStr">
        <is>
          <t>262028A-MMG-V</t>
        </is>
      </c>
      <c r="B7" s="4" t="inlineStr">
        <is>
          <t>MINERA LAS BAMBAS S.A.</t>
        </is>
      </c>
      <c r="C7" s="4" t="inlineStr">
        <is>
          <t>4400669247</t>
        </is>
      </c>
      <c r="D7" s="4" t="inlineStr">
        <is>
          <t>Solicitud de cotización S1045572</t>
        </is>
      </c>
      <c r="E7" s="5" t="n">
        <v>46051</v>
      </c>
      <c r="F7" s="5" t="n">
        <v>46114</v>
      </c>
      <c r="G7" s="6" t="n">
        <v>1787.49</v>
      </c>
      <c r="H7" s="6" t="n">
        <v>1191.66</v>
      </c>
      <c r="I7" s="6" t="n">
        <v>0</v>
      </c>
      <c r="J7" s="6" t="n">
        <v>0</v>
      </c>
      <c r="K7" s="6" t="n">
        <v>595.83</v>
      </c>
      <c r="L7" s="4" t="inlineStr">
        <is>
          <t>Eduardo</t>
        </is>
      </c>
      <c r="M7" s="3" t="n"/>
      <c r="N7" s="7" t="inlineStr">
        <is>
          <t>MINERA YANACOCHA</t>
        </is>
      </c>
      <c r="O7" s="8">
        <f>SUMIF(B:B,"MINERA YANACOCHA",G:G)</f>
        <v/>
      </c>
      <c r="P7" s="9">
        <f>COUNTIF(B:B,"MINERA YANACOCHA")</f>
        <v/>
      </c>
      <c r="Q7" s="3" t="n"/>
    </row>
    <row r="8">
      <c r="A8" s="10" t="inlineStr">
        <is>
          <t>262022A-SPCC-V</t>
        </is>
      </c>
      <c r="B8" s="10" t="inlineStr">
        <is>
          <t>SOUTHERN PERU COPPER CORPORATION</t>
        </is>
      </c>
      <c r="C8" s="10" t="inlineStr">
        <is>
          <t>4100790414</t>
        </is>
      </c>
      <c r="D8" s="10" t="inlineStr">
        <is>
          <t>Licitación  3000545027 ST VARIOS ELÉCTRICOS</t>
        </is>
      </c>
      <c r="E8" s="11" t="n">
        <v>46055</v>
      </c>
      <c r="F8" s="11" t="n">
        <v>46124</v>
      </c>
      <c r="G8" s="12" t="n">
        <v>12783.94</v>
      </c>
      <c r="H8" s="12" t="n">
        <v>11161.28</v>
      </c>
      <c r="I8" s="12" t="n">
        <v>0</v>
      </c>
      <c r="J8" s="12" t="n">
        <v>0</v>
      </c>
      <c r="K8" s="12" t="n">
        <v>1622.66</v>
      </c>
      <c r="L8" s="10" t="inlineStr">
        <is>
          <t>Eduardo</t>
        </is>
      </c>
      <c r="M8" s="3" t="n"/>
      <c r="N8" s="7" t="inlineStr">
        <is>
          <t>Precision Peru SA</t>
        </is>
      </c>
      <c r="O8" s="8">
        <f>SUMIF(B:B,"Precision Peru SA",G:G)</f>
        <v/>
      </c>
      <c r="P8" s="9">
        <f>COUNTIF(B:B,"Precision Peru SA")</f>
        <v/>
      </c>
      <c r="Q8" s="3" t="n"/>
    </row>
    <row r="9">
      <c r="A9" s="4" t="inlineStr">
        <is>
          <t>262009B-SPCC-S</t>
        </is>
      </c>
      <c r="B9" s="4" t="inlineStr">
        <is>
          <t>SOUTHERN PERU COPPER CORPORATION</t>
        </is>
      </c>
      <c r="C9" s="4" t="inlineStr">
        <is>
          <t>4100791028</t>
        </is>
      </c>
      <c r="D9" s="4" t="inlineStr">
        <is>
          <t>Licitación  3000541921 CD_SERVICIO VARIADOR ROCKWELL_R</t>
        </is>
      </c>
      <c r="E9" s="5" t="n">
        <v>46056</v>
      </c>
      <c r="F9" s="5" t="n">
        <v>46062</v>
      </c>
      <c r="G9" s="6" t="n">
        <v>5644.8</v>
      </c>
      <c r="H9" s="6" t="n">
        <v>4844</v>
      </c>
      <c r="I9" s="6" t="n">
        <v>0</v>
      </c>
      <c r="J9" s="6" t="n">
        <v>0</v>
      </c>
      <c r="K9" s="6" t="n">
        <v>800.8</v>
      </c>
      <c r="L9" s="4" t="inlineStr">
        <is>
          <t>Claudia</t>
        </is>
      </c>
      <c r="M9" s="3" t="n"/>
      <c r="N9" s="7" t="inlineStr">
        <is>
          <t>SHAHUINDO S.A.C.</t>
        </is>
      </c>
      <c r="O9" s="8">
        <f>SUMIF(B:B,"SHAHUINDO S.A.C.",G:G)</f>
        <v/>
      </c>
      <c r="P9" s="9">
        <f>COUNTIF(B:B,"SHAHUINDO S.A.C.")</f>
        <v/>
      </c>
      <c r="Q9" s="3" t="n"/>
    </row>
    <row r="10">
      <c r="A10" s="10" t="inlineStr">
        <is>
          <t>262014A-SPCC-V</t>
        </is>
      </c>
      <c r="B10" s="10" t="inlineStr">
        <is>
          <t>SOUTHERN PERU COPPER CORPORATION</t>
        </is>
      </c>
      <c r="C10" s="10" t="inlineStr">
        <is>
          <t>4100792483</t>
        </is>
      </c>
      <c r="D10" s="10" t="inlineStr">
        <is>
          <t>LICENCIA WINCC SPCC</t>
        </is>
      </c>
      <c r="E10" s="11" t="n">
        <v>46063</v>
      </c>
      <c r="F10" s="11" t="n">
        <v>46077</v>
      </c>
      <c r="G10" s="12" t="n">
        <v>2272.58</v>
      </c>
      <c r="H10" s="12" t="n">
        <v>1976.16</v>
      </c>
      <c r="I10" s="12" t="n">
        <v>0</v>
      </c>
      <c r="J10" s="12" t="n">
        <v>0</v>
      </c>
      <c r="K10" s="12" t="n">
        <v>296.42</v>
      </c>
      <c r="L10" s="10" t="inlineStr">
        <is>
          <t>Eduardo</t>
        </is>
      </c>
      <c r="M10" s="3" t="n"/>
      <c r="N10" s="7" t="inlineStr">
        <is>
          <t>SOUTHERN PERU COPPER CORPORATION</t>
        </is>
      </c>
      <c r="O10" s="8">
        <f>SUMIF(B:B,"SOUTHERN PERU COPPER CORPORATION",G:G)</f>
        <v/>
      </c>
      <c r="P10" s="9">
        <f>COUNTIF(B:B,"SOUTHERN PERU COPPER CORPORATION")</f>
        <v/>
      </c>
      <c r="Q10" s="3" t="n"/>
    </row>
    <row r="11">
      <c r="A11" s="4" t="inlineStr">
        <is>
          <t>262013A-MY-S</t>
        </is>
      </c>
      <c r="B11" s="4" t="inlineStr">
        <is>
          <t>MINERA YANACOCHA</t>
        </is>
      </c>
      <c r="C11" s="4" t="inlineStr">
        <is>
          <t>3003201873</t>
        </is>
      </c>
      <c r="D11" s="4" t="inlineStr">
        <is>
          <t>PR 1006282742 - Migración lógica controladores PLC5/40 y SLC500 (Allen Bradley) Planta procesos</t>
        </is>
      </c>
      <c r="E11" s="5" t="n">
        <v>46069</v>
      </c>
      <c r="F11" s="5" t="n">
        <v>46092</v>
      </c>
      <c r="G11" s="6" t="n">
        <v>14658</v>
      </c>
      <c r="H11" s="6" t="n">
        <v>0</v>
      </c>
      <c r="I11" s="6" t="n">
        <v>13230</v>
      </c>
      <c r="J11" s="6" t="n">
        <v>0</v>
      </c>
      <c r="K11" s="6" t="n">
        <v>1428</v>
      </c>
      <c r="L11" s="4" t="inlineStr">
        <is>
          <t>Luisa</t>
        </is>
      </c>
      <c r="M11" s="3" t="n"/>
      <c r="N11" s="7" t="inlineStr">
        <is>
          <t>YURA S.A.</t>
        </is>
      </c>
      <c r="O11" s="8">
        <f>SUMIF(B:B,"YURA S.A.",G:G)</f>
        <v/>
      </c>
      <c r="P11" s="9">
        <f>COUNTIF(B:B,"YURA S.A.")</f>
        <v/>
      </c>
      <c r="Q11" s="3" t="n"/>
    </row>
    <row r="12">
      <c r="A12" s="10" t="inlineStr">
        <is>
          <t>262015A-MY-S</t>
        </is>
      </c>
      <c r="B12" s="10" t="inlineStr">
        <is>
          <t>MINERA YANACOCHA</t>
        </is>
      </c>
      <c r="C12" s="10" t="inlineStr">
        <is>
          <t>3003205374</t>
        </is>
      </c>
      <c r="D12" s="10" t="inlineStr">
        <is>
          <t>RFQ 1006293632 - MIGRACIÓN I/O PLC5 – YN BOOSTER KM45</t>
        </is>
      </c>
      <c r="E12" s="11" t="n">
        <v>46069</v>
      </c>
      <c r="F12" s="11" t="n">
        <v>46129</v>
      </c>
      <c r="G12" s="12" t="n">
        <v>7260</v>
      </c>
      <c r="H12" s="12" t="n">
        <v>0</v>
      </c>
      <c r="I12" s="12" t="n">
        <v>6600</v>
      </c>
      <c r="J12" s="12" t="n">
        <v>0</v>
      </c>
      <c r="K12" s="12" t="n">
        <v>660</v>
      </c>
      <c r="L12" s="10" t="inlineStr">
        <is>
          <t>Eduardo</t>
        </is>
      </c>
      <c r="M12" s="3" t="n"/>
      <c r="N12" s="13" t="n"/>
      <c r="O12" s="14">
        <f>SUM(G3:G33)</f>
        <v/>
      </c>
      <c r="P12" s="15">
        <f>COUNTA(A3:A33)</f>
        <v/>
      </c>
      <c r="Q12" s="3" t="n"/>
    </row>
    <row r="13">
      <c r="A13" s="4" t="inlineStr">
        <is>
          <t>262037A-MMG-V</t>
        </is>
      </c>
      <c r="B13" s="4" t="inlineStr">
        <is>
          <t>MINERA LAS BAMBAS S.A.</t>
        </is>
      </c>
      <c r="C13" s="4" t="inlineStr">
        <is>
          <t>4400672314</t>
        </is>
      </c>
      <c r="D13" s="4" t="inlineStr">
        <is>
          <t>RFQ 6000121001 Accesorios Dixon</t>
        </is>
      </c>
      <c r="E13" s="5" t="n">
        <v>46071</v>
      </c>
      <c r="F13" s="5" t="n">
        <v>46074</v>
      </c>
      <c r="G13" s="6" t="n">
        <v>329.97</v>
      </c>
      <c r="H13" s="6" t="n">
        <v>213.81</v>
      </c>
      <c r="I13" s="6" t="n">
        <v>0</v>
      </c>
      <c r="J13" s="6" t="n">
        <v>0</v>
      </c>
      <c r="K13" s="6" t="n">
        <v>116.16</v>
      </c>
      <c r="L13" s="4" t="inlineStr">
        <is>
          <t>Claudia</t>
        </is>
      </c>
      <c r="M13" s="3" t="n"/>
      <c r="N13" s="3" t="n"/>
      <c r="O13" s="3" t="n"/>
      <c r="P13" s="3" t="n"/>
      <c r="Q13" s="3" t="n"/>
    </row>
    <row r="14">
      <c r="A14" s="10" t="inlineStr">
        <is>
          <t>262046A-SHA-V</t>
        </is>
      </c>
      <c r="B14" s="10" t="inlineStr">
        <is>
          <t>SHAHUINDO S.A.C.</t>
        </is>
      </c>
      <c r="C14" s="10" t="inlineStr">
        <is>
          <t>50167</t>
        </is>
      </c>
      <c r="D14" s="10" t="inlineStr">
        <is>
          <t>LUMINARIA MODELO SOLARIS</t>
        </is>
      </c>
      <c r="E14" s="11" t="n">
        <v>46076</v>
      </c>
      <c r="F14" s="11" t="n">
        <v>46136</v>
      </c>
      <c r="G14" s="12" t="n">
        <v>35616</v>
      </c>
      <c r="H14" s="12" t="n">
        <v>31800</v>
      </c>
      <c r="I14" s="12" t="n">
        <v>0</v>
      </c>
      <c r="J14" s="12" t="n">
        <v>0</v>
      </c>
      <c r="K14" s="12" t="n">
        <v>3816</v>
      </c>
      <c r="L14" s="10" t="inlineStr">
        <is>
          <t>Eduardo</t>
        </is>
      </c>
      <c r="M14" s="3" t="n"/>
      <c r="N14" s="16" t="inlineStr">
        <is>
          <t>Concepto</t>
        </is>
      </c>
      <c r="O14" s="16" t="inlineStr">
        <is>
          <t>Monto</t>
        </is>
      </c>
      <c r="P14" s="3" t="n"/>
      <c r="Q14" s="3" t="n"/>
    </row>
    <row r="15">
      <c r="A15" s="4" t="inlineStr">
        <is>
          <t>262049A-MMG-V</t>
        </is>
      </c>
      <c r="B15" s="4" t="inlineStr">
        <is>
          <t>MINERA LAS BAMBAS S.A.</t>
        </is>
      </c>
      <c r="C15" s="4" t="inlineStr">
        <is>
          <t>4400675551</t>
        </is>
      </c>
      <c r="D15" s="4" t="inlineStr">
        <is>
          <t>MMG_RFQ No. 6000121455 Módulos IO Allen Bradley</t>
        </is>
      </c>
      <c r="E15" s="5" t="n">
        <v>46092</v>
      </c>
      <c r="F15" s="5" t="n">
        <v>46127</v>
      </c>
      <c r="G15" s="6" t="n">
        <v>1811.15</v>
      </c>
      <c r="H15" s="6" t="n">
        <v>1509.29</v>
      </c>
      <c r="I15" s="6" t="n">
        <v>0</v>
      </c>
      <c r="J15" s="6" t="n">
        <v>0</v>
      </c>
      <c r="K15" s="6" t="n">
        <v>301.86</v>
      </c>
      <c r="L15" s="4" t="inlineStr">
        <is>
          <t>Claudia</t>
        </is>
      </c>
      <c r="M15" s="3" t="n"/>
      <c r="N15" s="7" t="inlineStr">
        <is>
          <t>Costo</t>
        </is>
      </c>
      <c r="O15" s="8">
        <f>SUM(H3:H33)</f>
        <v/>
      </c>
      <c r="Q15" s="3" t="n"/>
    </row>
    <row r="16">
      <c r="A16" s="10" t="inlineStr">
        <is>
          <t>262062A-PREP-S</t>
        </is>
      </c>
      <c r="B16" s="10" t="inlineStr">
        <is>
          <t>Precision Peru SA</t>
        </is>
      </c>
      <c r="C16" s="10" t="inlineStr">
        <is>
          <t>5328</t>
        </is>
      </c>
      <c r="D16" s="10" t="inlineStr">
        <is>
          <t>TECNICOS ELÉCTRICOS - MINERA ANTAMINA - PDP ABRIL 2026</t>
        </is>
      </c>
      <c r="E16" s="11" t="n">
        <v>46104</v>
      </c>
      <c r="F16" s="11" t="n">
        <v>46139</v>
      </c>
      <c r="G16" s="12" t="n">
        <v>7397.4</v>
      </c>
      <c r="H16" s="12" t="n">
        <v>3727</v>
      </c>
      <c r="I16" s="12" t="n">
        <v>3409.5</v>
      </c>
      <c r="J16" s="12" t="n">
        <v>0</v>
      </c>
      <c r="K16" s="12" t="n">
        <v>260.9</v>
      </c>
      <c r="L16" s="10" t="inlineStr">
        <is>
          <t>Eduardo</t>
        </is>
      </c>
      <c r="M16" s="3" t="n"/>
      <c r="N16" s="7" t="inlineStr">
        <is>
          <t>HH Propia</t>
        </is>
      </c>
      <c r="O16" s="8">
        <f>SUM(I3:I33)</f>
        <v/>
      </c>
      <c r="Q16" s="3" t="n"/>
    </row>
    <row r="17">
      <c r="A17" s="4" t="inlineStr">
        <is>
          <t>262056B-SPCC-S</t>
        </is>
      </c>
      <c r="B17" s="4" t="inlineStr">
        <is>
          <t>SOUTHERN PERU COPPER CORPORATION</t>
        </is>
      </c>
      <c r="C17" s="4" t="inlineStr">
        <is>
          <t>4100801979</t>
        </is>
      </c>
      <c r="D17" s="4" t="inlineStr">
        <is>
          <t>Licitación  3000553413</t>
        </is>
      </c>
      <c r="E17" s="5" t="n">
        <v>46104</v>
      </c>
      <c r="F17" s="5" t="n">
        <v>46240</v>
      </c>
      <c r="G17" s="6" t="n">
        <v>10407.35</v>
      </c>
      <c r="H17" s="6" t="n">
        <v>8213.059999999999</v>
      </c>
      <c r="I17" s="6" t="n">
        <v>901.7</v>
      </c>
      <c r="J17" s="6" t="n">
        <v>0</v>
      </c>
      <c r="K17" s="6" t="n">
        <v>1292.59</v>
      </c>
      <c r="L17" s="4" t="inlineStr">
        <is>
          <t>Luisa</t>
        </is>
      </c>
      <c r="M17" s="3" t="n"/>
      <c r="N17" s="7" t="inlineStr">
        <is>
          <t>Imprevisto</t>
        </is>
      </c>
      <c r="O17" s="8">
        <f>SUM(J3:J33)</f>
        <v/>
      </c>
      <c r="Q17" s="3" t="n"/>
    </row>
    <row r="18">
      <c r="A18" s="10" t="inlineStr">
        <is>
          <t>262041D-YURA-S</t>
        </is>
      </c>
      <c r="B18" s="10" t="inlineStr">
        <is>
          <t>YURA S.A.</t>
        </is>
      </c>
      <c r="C18" s="10" t="inlineStr">
        <is>
          <t>4436612248</t>
        </is>
      </c>
      <c r="D18" s="10" t="inlineStr">
        <is>
          <t>CTZ TABLEROS DE CONTROL</t>
        </is>
      </c>
      <c r="E18" s="11" t="n">
        <v>46112</v>
      </c>
      <c r="F18" s="11" t="n">
        <v>46217</v>
      </c>
      <c r="G18" s="12" t="n">
        <v>68932.00999999999</v>
      </c>
      <c r="H18" s="12" t="n">
        <v>55771.83</v>
      </c>
      <c r="I18" s="12" t="n">
        <v>2805.1</v>
      </c>
      <c r="J18" s="12" t="n">
        <v>0</v>
      </c>
      <c r="K18" s="12" t="n">
        <v>10355.08</v>
      </c>
      <c r="L18" s="10" t="inlineStr">
        <is>
          <t>Luisa</t>
        </is>
      </c>
      <c r="M18" s="3" t="n"/>
      <c r="N18" s="7" t="inlineStr">
        <is>
          <t>Utilidad</t>
        </is>
      </c>
      <c r="O18" s="8">
        <f>SUM(K3:K33)</f>
        <v/>
      </c>
      <c r="Q18" s="3" t="n"/>
    </row>
    <row r="19">
      <c r="A19" s="4" t="inlineStr">
        <is>
          <t>262043D-MACO-S</t>
        </is>
      </c>
      <c r="B19" s="4" t="inlineStr">
        <is>
          <t>MARCOBRE S.A.C.</t>
        </is>
      </c>
      <c r="C19" s="4" t="inlineStr">
        <is>
          <t>7700015783</t>
        </is>
      </c>
      <c r="D19" s="4" t="inlineStr">
        <is>
          <t>CONCURSO 40052964- Mantenimiento de tableros y gabinetes de campo de sistema de control (HDCS &amp; PLC)</t>
        </is>
      </c>
      <c r="E19" s="5" t="n">
        <v>46119</v>
      </c>
      <c r="F19" s="5" t="n">
        <v>46140</v>
      </c>
      <c r="G19" s="6" t="n">
        <v>34672</v>
      </c>
      <c r="H19" s="6" t="n">
        <v>24640</v>
      </c>
      <c r="I19" s="6" t="n">
        <v>8460</v>
      </c>
      <c r="J19" s="6" t="n">
        <v>0</v>
      </c>
      <c r="K19" s="6" t="n">
        <v>1572</v>
      </c>
      <c r="L19" s="4" t="inlineStr">
        <is>
          <t>Eduardo</t>
        </is>
      </c>
      <c r="M19" s="3" t="n"/>
      <c r="N19" s="17" t="n"/>
      <c r="O19" s="14">
        <f>SUM(O15:O18)</f>
        <v/>
      </c>
      <c r="Q19" s="3" t="n"/>
    </row>
    <row r="20">
      <c r="A20" s="10" t="inlineStr">
        <is>
          <t>262069A-ANGQ-V</t>
        </is>
      </c>
      <c r="B20" s="10" t="inlineStr">
        <is>
          <t>ANGLO AMERICAN QUELLAVECO S.A.</t>
        </is>
      </c>
      <c r="C20" s="10" t="inlineStr">
        <is>
          <t>4504223915</t>
        </is>
      </c>
      <c r="D20" s="10" t="inlineStr">
        <is>
          <t>RFQ 6100160735 - sp 14584177</t>
        </is>
      </c>
      <c r="E20" s="11" t="n">
        <v>46121</v>
      </c>
      <c r="F20" s="11" t="n">
        <v>46134</v>
      </c>
      <c r="G20" s="12" t="n">
        <v>1662.09</v>
      </c>
      <c r="H20" s="12" t="n">
        <v>1231.18</v>
      </c>
      <c r="I20" s="12" t="n">
        <v>0</v>
      </c>
      <c r="J20" s="12" t="n">
        <v>0</v>
      </c>
      <c r="K20" s="12" t="n">
        <v>430.91</v>
      </c>
      <c r="L20" s="10" t="inlineStr">
        <is>
          <t>Eduardo</t>
        </is>
      </c>
      <c r="M20" s="3" t="n"/>
      <c r="Q20" s="3" t="n"/>
    </row>
    <row r="21">
      <c r="A21" s="4" t="inlineStr">
        <is>
          <t>262089A-SHA-V</t>
        </is>
      </c>
      <c r="B21" s="4" t="inlineStr">
        <is>
          <t>SHAHUINDO S.A.C.</t>
        </is>
      </c>
      <c r="C21" s="4" t="inlineStr">
        <is>
          <t>51014</t>
        </is>
      </c>
      <c r="D21" s="4" t="inlineStr">
        <is>
          <t>LUMINARIA MODELO SOLARIS</t>
        </is>
      </c>
      <c r="E21" s="5" t="n">
        <v>46148</v>
      </c>
      <c r="F21" s="5" t="n">
        <v>46188</v>
      </c>
      <c r="G21" s="6" t="n">
        <v>8904</v>
      </c>
      <c r="H21" s="6" t="n">
        <v>7950</v>
      </c>
      <c r="I21" s="6" t="n">
        <v>0</v>
      </c>
      <c r="J21" s="6" t="n">
        <v>0</v>
      </c>
      <c r="K21" s="6" t="n">
        <v>954</v>
      </c>
      <c r="L21" s="4" t="inlineStr">
        <is>
          <t>Eduardo</t>
        </is>
      </c>
      <c r="M21" s="3" t="n"/>
      <c r="N21" s="18" t="inlineStr">
        <is>
          <t>KPI MIN</t>
        </is>
      </c>
      <c r="O21" s="14">
        <f>O16+O18</f>
        <v/>
      </c>
      <c r="Q21" s="3" t="n"/>
    </row>
    <row r="22">
      <c r="A22" s="10" t="inlineStr">
        <is>
          <t>262075A-MACO-S</t>
        </is>
      </c>
      <c r="B22" s="10" t="inlineStr">
        <is>
          <t>MARCOBRE S.A.C.</t>
        </is>
      </c>
      <c r="C22" s="10" t="inlineStr">
        <is>
          <t>7700015783</t>
        </is>
      </c>
      <c r="D22" s="10" t="inlineStr">
        <is>
          <t>Pasajes Terrestre</t>
        </is>
      </c>
      <c r="E22" s="11" t="n">
        <v>46148</v>
      </c>
      <c r="F22" s="11" t="n">
        <v>46207</v>
      </c>
      <c r="G22" s="12" t="n">
        <v>2856</v>
      </c>
      <c r="H22" s="12" t="n">
        <v>2856</v>
      </c>
      <c r="I22" s="12" t="n">
        <v>0</v>
      </c>
      <c r="J22" s="12" t="n">
        <v>0</v>
      </c>
      <c r="K22" s="12" t="n">
        <v>0</v>
      </c>
      <c r="L22" s="10" t="inlineStr">
        <is>
          <t>Eduardo</t>
        </is>
      </c>
      <c r="M22" s="3" t="n"/>
      <c r="N22" s="19">
        <f>NOW()</f>
        <v/>
      </c>
      <c r="Q22" s="3" t="n"/>
    </row>
    <row r="23">
      <c r="A23" s="4" t="inlineStr">
        <is>
          <t>262064C-POD-S</t>
        </is>
      </c>
      <c r="B23" s="4" t="inlineStr">
        <is>
          <t>Compañía Minera Poderosa SA</t>
        </is>
      </c>
      <c r="C23" s="4" t="inlineStr">
        <is>
          <t>4200022691-4200022692-4200022693</t>
        </is>
      </c>
      <c r="D23" s="4" t="inlineStr">
        <is>
          <t>Remediación observaciones Auditoria PlantPAx</t>
        </is>
      </c>
      <c r="E23" s="5" t="n">
        <v>46167</v>
      </c>
      <c r="F23" s="5" t="n">
        <v>46178</v>
      </c>
      <c r="G23" s="6" t="n">
        <v>18140</v>
      </c>
      <c r="H23" s="6" t="n">
        <v>9740</v>
      </c>
      <c r="I23" s="6" t="n">
        <v>8400</v>
      </c>
      <c r="J23" s="6" t="n">
        <v>0</v>
      </c>
      <c r="K23" s="6" t="n">
        <v>0</v>
      </c>
      <c r="L23" s="4" t="inlineStr">
        <is>
          <t>Eduardo</t>
        </is>
      </c>
      <c r="M23" s="3" t="n"/>
      <c r="Q23" s="3" t="n"/>
    </row>
    <row r="24">
      <c r="A24" s="10" t="inlineStr">
        <is>
          <t>262101A-PREP-S</t>
        </is>
      </c>
      <c r="B24" s="10" t="inlineStr">
        <is>
          <t>Precision Peru SA</t>
        </is>
      </c>
      <c r="C24" s="10" t="inlineStr">
        <is>
          <t>5540</t>
        </is>
      </c>
      <c r="D24" s="10" t="inlineStr">
        <is>
          <t>Servicio - TOQUEPALA</t>
        </is>
      </c>
      <c r="E24" s="11" t="n">
        <v>46169</v>
      </c>
      <c r="F24" s="11" t="n">
        <v>46179</v>
      </c>
      <c r="G24" s="12" t="n">
        <v>2487.12</v>
      </c>
      <c r="H24" s="12" t="n">
        <v>1848</v>
      </c>
      <c r="I24" s="12" t="n">
        <v>532.6</v>
      </c>
      <c r="J24" s="12" t="n">
        <v>0</v>
      </c>
      <c r="K24" s="12" t="n">
        <v>106.52</v>
      </c>
      <c r="L24" s="10" t="inlineStr">
        <is>
          <t>Eduardo</t>
        </is>
      </c>
      <c r="M24" s="3" t="n"/>
      <c r="Q24" s="3" t="n"/>
    </row>
    <row r="25">
      <c r="A25" s="4" t="inlineStr">
        <is>
          <t>262104A-PREP-S</t>
        </is>
      </c>
      <c r="B25" s="4" t="inlineStr">
        <is>
          <t>Precision Peru SA</t>
        </is>
      </c>
      <c r="C25" s="4" t="inlineStr">
        <is>
          <t>5605</t>
        </is>
      </c>
      <c r="D25" s="4" t="inlineStr">
        <is>
          <t>MANTENIMIENTO 2 VFD - CONCENTRADORA 1 (NV - 25425)</t>
        </is>
      </c>
      <c r="E25" s="5" t="n">
        <v>46170</v>
      </c>
      <c r="F25" s="5" t="n">
        <v>46198</v>
      </c>
      <c r="G25" s="6" t="n">
        <v>3730.68</v>
      </c>
      <c r="H25" s="6" t="n">
        <v>2772</v>
      </c>
      <c r="I25" s="6" t="n">
        <v>798.9</v>
      </c>
      <c r="J25" s="6" t="n">
        <v>0</v>
      </c>
      <c r="K25" s="6" t="n">
        <v>159.78</v>
      </c>
      <c r="L25" s="4" t="inlineStr">
        <is>
          <t>Eduardo</t>
        </is>
      </c>
      <c r="M25" s="3" t="n"/>
      <c r="Q25" s="3" t="n"/>
    </row>
    <row r="26">
      <c r="A26" s="10" t="inlineStr">
        <is>
          <t>262103A-MY-S</t>
        </is>
      </c>
      <c r="B26" s="10" t="inlineStr">
        <is>
          <t>MINERA YANACOCHA</t>
        </is>
      </c>
      <c r="C26" s="10" t="inlineStr">
        <is>
          <t>3003254426</t>
        </is>
      </c>
      <c r="D26" s="10" t="inlineStr">
        <is>
          <t>Migración - YN Recirculación</t>
        </is>
      </c>
      <c r="E26" s="11" t="n">
        <v>46171</v>
      </c>
      <c r="F26" s="11" t="n">
        <v>46231</v>
      </c>
      <c r="G26" s="12" t="n">
        <v>9680</v>
      </c>
      <c r="H26" s="12" t="n">
        <v>0</v>
      </c>
      <c r="I26" s="12" t="n">
        <v>8800</v>
      </c>
      <c r="J26" s="12" t="n">
        <v>0</v>
      </c>
      <c r="K26" s="12" t="n">
        <v>880</v>
      </c>
      <c r="L26" s="10" t="inlineStr">
        <is>
          <t>Luisa</t>
        </is>
      </c>
      <c r="M26" s="3" t="n"/>
      <c r="Q26" s="3" t="n"/>
    </row>
    <row r="27">
      <c r="A27" s="4" t="inlineStr">
        <is>
          <t>262083B-MMG-S</t>
        </is>
      </c>
      <c r="B27" s="4" t="inlineStr">
        <is>
          <t>MINERA LAS BAMBAS S.A.</t>
        </is>
      </c>
      <c r="C27" s="4" t="inlineStr">
        <is>
          <t>4400688949</t>
        </is>
      </c>
      <c r="D27" s="4" t="inlineStr">
        <is>
          <t>PR_11684191_GABINETE GATEWAY 4.0</t>
        </is>
      </c>
      <c r="E27" s="5" t="n">
        <v>46177</v>
      </c>
      <c r="F27" s="5" t="n">
        <v>46233</v>
      </c>
      <c r="G27" s="6" t="n">
        <v>3353.59</v>
      </c>
      <c r="H27" s="6" t="n">
        <v>2125</v>
      </c>
      <c r="I27" s="6" t="n">
        <v>867.8</v>
      </c>
      <c r="J27" s="6" t="n">
        <v>0</v>
      </c>
      <c r="K27" s="6" t="n">
        <v>360.79</v>
      </c>
      <c r="L27" s="4" t="inlineStr">
        <is>
          <t>Luisa</t>
        </is>
      </c>
      <c r="M27" s="3" t="n"/>
      <c r="Q27" s="3" t="n"/>
    </row>
    <row r="28">
      <c r="A28" s="10" t="inlineStr">
        <is>
          <t>262107A-SPCC-S</t>
        </is>
      </c>
      <c r="B28" s="10" t="inlineStr">
        <is>
          <t>SOUTHERN PERU COPPER CORPORATION</t>
        </is>
      </c>
      <c r="C28" s="10" t="inlineStr">
        <is>
          <t>4100776222</t>
        </is>
      </c>
      <c r="D28" s="10" t="inlineStr">
        <is>
          <t>Tendido de tuberías conduit para cable de red en celdas  Wemco y bombas Cleaner</t>
        </is>
      </c>
      <c r="E28" s="11" t="n">
        <v>46177</v>
      </c>
      <c r="F28" s="11" t="n">
        <v>46194</v>
      </c>
      <c r="G28" s="12" t="n">
        <v>12544.24</v>
      </c>
      <c r="H28" s="12" t="n">
        <v>7970</v>
      </c>
      <c r="I28" s="12" t="n">
        <v>3130.24</v>
      </c>
      <c r="J28" s="12" t="n">
        <v>0</v>
      </c>
      <c r="K28" s="12" t="n">
        <v>1444</v>
      </c>
      <c r="L28" s="10" t="inlineStr">
        <is>
          <t>Eduardo</t>
        </is>
      </c>
      <c r="M28" s="3" t="n"/>
      <c r="Q28" s="3" t="n"/>
    </row>
    <row r="29">
      <c r="A29" s="4" t="inlineStr">
        <is>
          <t>262109A-PREP-S</t>
        </is>
      </c>
      <c r="B29" s="4" t="inlineStr">
        <is>
          <t>Precision Peru SA</t>
        </is>
      </c>
      <c r="C29" s="4" t="inlineStr">
        <is>
          <t>5606</t>
        </is>
      </c>
      <c r="D29" s="4" t="inlineStr">
        <is>
          <t>TECNICO ELÉCTRICO - MINERA ANTAMINA - PDP JUNIO 2026</t>
        </is>
      </c>
      <c r="E29" s="5" t="n">
        <v>46177</v>
      </c>
      <c r="F29" s="5" t="n">
        <v>46195</v>
      </c>
      <c r="G29" s="6" t="n">
        <v>2453.36</v>
      </c>
      <c r="H29" s="6" t="n">
        <v>1004</v>
      </c>
      <c r="I29" s="6" t="n">
        <v>1207.8</v>
      </c>
      <c r="J29" s="6" t="n">
        <v>0</v>
      </c>
      <c r="K29" s="6" t="n">
        <v>241.56</v>
      </c>
      <c r="L29" s="4" t="inlineStr">
        <is>
          <t>Eduardo</t>
        </is>
      </c>
      <c r="M29" s="3" t="n"/>
      <c r="Q29" s="3" t="n"/>
    </row>
    <row r="30">
      <c r="A30" s="10" t="inlineStr">
        <is>
          <t>252185H-YURA-S</t>
        </is>
      </c>
      <c r="B30" s="10" t="inlineStr">
        <is>
          <t>YURA S.A.</t>
        </is>
      </c>
      <c r="C30" s="10" t="inlineStr">
        <is>
          <t>4436674328</t>
        </is>
      </c>
      <c r="D30" s="10" t="inlineStr">
        <is>
          <t>Suministro Backpanel TC-Chancadora Primaria</t>
        </is>
      </c>
      <c r="E30" s="11" t="n">
        <v>46182</v>
      </c>
      <c r="F30" s="11" t="n">
        <v>46294</v>
      </c>
      <c r="G30" s="12" t="n">
        <v>47668.98</v>
      </c>
      <c r="H30" s="12" t="n">
        <v>40597.95</v>
      </c>
      <c r="I30" s="12" t="n">
        <v>4645.03</v>
      </c>
      <c r="J30" s="12" t="n">
        <v>0</v>
      </c>
      <c r="K30" s="12" t="n">
        <v>2426</v>
      </c>
      <c r="L30" s="10" t="inlineStr">
        <is>
          <t>Luisa</t>
        </is>
      </c>
      <c r="M30" s="3" t="n"/>
      <c r="Q30" s="3" t="n"/>
    </row>
    <row r="31">
      <c r="A31" s="4" t="inlineStr">
        <is>
          <t>262121A-SPCC-P</t>
        </is>
      </c>
      <c r="B31" s="4" t="inlineStr">
        <is>
          <t>SOUTHERN PERU COPPER CORPORATION</t>
        </is>
      </c>
      <c r="C31" s="4" t="inlineStr">
        <is>
          <t>4200009183, 4200009187, 4200009226, 4200009228, 4200009347, 4200009352 y 4200009353</t>
        </is>
      </c>
      <c r="D31" s="4" t="inlineStr">
        <is>
          <t>LICITACIÓN P2255-001/P2255-002 - SUMINISTRO DE SISTEMA DE CONTROL Y COMUNICACIONES</t>
        </is>
      </c>
      <c r="E31" s="5" t="n">
        <v>46217</v>
      </c>
      <c r="F31" s="5" t="n">
        <v>46315</v>
      </c>
      <c r="G31" s="6" t="n">
        <v>268441.76</v>
      </c>
      <c r="H31" s="6" t="n">
        <v>228268.6</v>
      </c>
      <c r="I31" s="6" t="n">
        <v>17335.38</v>
      </c>
      <c r="J31" s="6" t="n">
        <v>0</v>
      </c>
      <c r="K31" s="6" t="n">
        <v>22837.78</v>
      </c>
      <c r="L31" s="4" t="inlineStr">
        <is>
          <t>Luisa</t>
        </is>
      </c>
      <c r="M31" s="3" t="n"/>
      <c r="Q31" s="3" t="n"/>
    </row>
    <row r="32">
      <c r="A32" s="10" t="inlineStr">
        <is>
          <t>262012B-SPCC-P</t>
        </is>
      </c>
      <c r="B32" s="10" t="inlineStr">
        <is>
          <t>SOUTHERN PERU COPPER CORPORATION</t>
        </is>
      </c>
      <c r="C32" s="10" t="inlineStr">
        <is>
          <t>4200003861</t>
        </is>
      </c>
      <c r="D32" s="10" t="inlineStr">
        <is>
          <t>Licitación  3000563783 - MIGRACION DE PANTALLAS CON DISEÑO DE MIMICOS UTILIZANDO LIBRERIA PLANTPAX</t>
        </is>
      </c>
      <c r="E32" s="11" t="n">
        <v>46217</v>
      </c>
      <c r="F32" s="11" t="n">
        <v>46227</v>
      </c>
      <c r="G32" s="12" t="n">
        <v>4360</v>
      </c>
      <c r="H32" s="12" t="n">
        <v>860</v>
      </c>
      <c r="I32" s="12" t="n">
        <v>3500</v>
      </c>
      <c r="J32" s="12" t="n">
        <v>0</v>
      </c>
      <c r="K32" s="12" t="n">
        <v>0</v>
      </c>
      <c r="L32" s="10" t="inlineStr">
        <is>
          <t>Eduardo</t>
        </is>
      </c>
      <c r="M32" s="3" t="n"/>
      <c r="Q32" s="3" t="n"/>
    </row>
    <row r="33">
      <c r="A33" s="4" t="inlineStr">
        <is>
          <t>262122A-MMG-V</t>
        </is>
      </c>
      <c r="B33" s="4" t="inlineStr">
        <is>
          <t>MINERA LAS BAMBAS S.A.</t>
        </is>
      </c>
      <c r="C33" s="4" t="inlineStr">
        <is>
          <t>4400694917</t>
        </is>
      </c>
      <c r="D33" s="4" t="inlineStr">
        <is>
          <t>Módulos IO Allen Bradley</t>
        </is>
      </c>
      <c r="E33" s="5" t="n">
        <v>46219</v>
      </c>
      <c r="F33" s="5" t="n">
        <v>46254</v>
      </c>
      <c r="G33" s="6" t="n">
        <v>632.84</v>
      </c>
      <c r="H33" s="6" t="n">
        <v>506.27</v>
      </c>
      <c r="I33" s="6" t="n">
        <v>0</v>
      </c>
      <c r="J33" s="6" t="n">
        <v>0</v>
      </c>
      <c r="K33" s="6" t="n">
        <v>126.57</v>
      </c>
      <c r="L33" s="4" t="inlineStr">
        <is>
          <t>Claudia</t>
        </is>
      </c>
      <c r="M33" s="3" t="n"/>
      <c r="Q33" s="3" t="n"/>
    </row>
    <row r="34">
      <c r="A34" s="20" t="inlineStr">
        <is>
          <t>TOTAL</t>
        </is>
      </c>
      <c r="B34" s="21" t="n"/>
      <c r="C34" s="21" t="n"/>
      <c r="D34" s="21" t="n"/>
      <c r="E34" s="21" t="n"/>
      <c r="F34" s="21" t="n"/>
      <c r="G34" s="22">
        <f>SUM(G3:G33)</f>
        <v/>
      </c>
      <c r="H34" s="22">
        <f>SUM(H3:H33)</f>
        <v/>
      </c>
      <c r="I34" s="22">
        <f>SUM(I3:I33)</f>
        <v/>
      </c>
      <c r="J34" s="22">
        <f>SUM(J3:J33)</f>
        <v/>
      </c>
      <c r="K34" s="22">
        <f>SUM(K3:K33)</f>
        <v/>
      </c>
      <c r="L34" s="21" t="inlineStr"/>
      <c r="M34" s="3" t="n"/>
      <c r="Q34" s="3" t="n"/>
    </row>
    <row r="35">
      <c r="M35" s="3" t="n"/>
      <c r="Q35" s="3" t="n"/>
    </row>
    <row r="36">
      <c r="M36" s="3" t="n"/>
      <c r="Q36" s="3" t="n"/>
    </row>
    <row r="37">
      <c r="M37" s="3" t="n"/>
      <c r="Q37" s="3" t="n"/>
    </row>
    <row r="38">
      <c r="M38" s="3" t="n"/>
      <c r="Q38" s="3" t="n"/>
    </row>
    <row r="39">
      <c r="M39" s="3" t="n"/>
      <c r="Q39" s="3" t="n"/>
    </row>
    <row r="40">
      <c r="M40" s="3" t="n"/>
      <c r="Q40" s="3" t="n"/>
    </row>
    <row r="41">
      <c r="M41" s="3" t="n"/>
      <c r="Q41" s="3" t="n"/>
    </row>
    <row r="42">
      <c r="M42" s="3" t="n"/>
      <c r="Q42" s="3" t="n"/>
    </row>
    <row r="43">
      <c r="M43" s="3" t="n"/>
      <c r="Q43" s="3" t="n"/>
    </row>
    <row r="44">
      <c r="M44" s="3" t="n"/>
      <c r="Q44" s="3" t="n"/>
    </row>
    <row r="45">
      <c r="M45" s="3" t="n"/>
      <c r="Q45" s="3" t="n"/>
    </row>
    <row r="46">
      <c r="M46" s="3" t="n"/>
      <c r="Q46" s="3" t="n"/>
    </row>
    <row r="47">
      <c r="M47" s="3" t="n"/>
      <c r="Q47" s="3" t="n"/>
    </row>
    <row r="48">
      <c r="M48" s="3" t="n"/>
      <c r="Q48" s="3" t="n"/>
    </row>
  </sheetData>
  <autoFilter ref="A2:L33"/>
  <mergeCells count="2">
    <mergeCell ref="A34:F34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2" customWidth="1" min="3" max="3"/>
    <col width="112" customWidth="1" min="4" max="4"/>
    <col width="13" customWidth="1" min="5" max="5"/>
    <col width="16" customWidth="1" min="6" max="6"/>
    <col width="22" customWidth="1" min="7" max="7"/>
    <col width="20" customWidth="1" min="8" max="8"/>
    <col width="21" customWidth="1" min="9" max="9"/>
    <col width="18" customWidth="1" min="10" max="10"/>
    <col width="20" customWidth="1" min="11" max="11"/>
    <col width="14" customWidth="1" min="12" max="12"/>
    <col width="12" customWidth="1" min="13" max="13"/>
    <col width="23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ORDENES DE COMPRA PETROQUÍMICA</t>
        </is>
      </c>
    </row>
    <row r="2">
      <c r="A2" s="2" t="inlineStr">
        <is>
          <t>CÓDIGO</t>
        </is>
      </c>
      <c r="B2" s="2" t="inlineStr">
        <is>
          <t>CLIENTES</t>
        </is>
      </c>
      <c r="C2" s="2" t="inlineStr">
        <is>
          <t>Nº Orden</t>
        </is>
      </c>
      <c r="D2" s="2" t="inlineStr">
        <is>
          <t>PROYECTO</t>
        </is>
      </c>
      <c r="E2" s="2" t="inlineStr">
        <is>
          <t>FECHA O/C</t>
        </is>
      </c>
      <c r="F2" s="2" t="inlineStr">
        <is>
          <t>FECHA ENTREGA</t>
        </is>
      </c>
      <c r="G2" s="2" t="inlineStr">
        <is>
          <t>VALOR PRESUPUESTO $</t>
        </is>
      </c>
      <c r="H2" s="2" t="inlineStr">
        <is>
          <t>COSTO</t>
        </is>
      </c>
      <c r="I2" s="2" t="inlineStr">
        <is>
          <t>HH Propia</t>
        </is>
      </c>
      <c r="J2" s="2" t="inlineStr">
        <is>
          <t>IMPREVISTOS</t>
        </is>
      </c>
      <c r="K2" s="2" t="inlineStr">
        <is>
          <t>UTILIDAD</t>
        </is>
      </c>
      <c r="L2" s="2" t="inlineStr">
        <is>
          <t>Personal</t>
        </is>
      </c>
      <c r="M2" s="3" t="n"/>
      <c r="N2" s="2" t="inlineStr">
        <is>
          <t>Empresa</t>
        </is>
      </c>
      <c r="O2" s="2" t="inlineStr">
        <is>
          <t>Monto O/C</t>
        </is>
      </c>
      <c r="P2" s="2" t="inlineStr">
        <is>
          <t>Cantidad</t>
        </is>
      </c>
      <c r="Q2" s="3" t="n"/>
    </row>
    <row r="3">
      <c r="A3" s="4" t="inlineStr">
        <is>
          <t>234061A-PTTL-P</t>
        </is>
      </c>
      <c r="B3" s="4" t="inlineStr">
        <is>
          <t>PETROTAL PERU S.R.L.</t>
        </is>
      </c>
      <c r="C3" s="4" t="inlineStr">
        <is>
          <t>315-2023-064-1</t>
        </is>
      </c>
      <c r="D3" s="4" t="inlineStr">
        <is>
          <t>Servicios de Soporte Técnico Especializado del  Sistema de Control, Automatización y Almacenamiento</t>
        </is>
      </c>
      <c r="E3" s="5" t="n">
        <v>46008</v>
      </c>
      <c r="F3" s="5" t="n">
        <v>46363</v>
      </c>
      <c r="G3" s="6" t="n">
        <v>32050</v>
      </c>
      <c r="H3" s="6" t="n">
        <v>7960</v>
      </c>
      <c r="I3" s="6" t="n">
        <v>20075</v>
      </c>
      <c r="J3" s="6" t="n">
        <v>0</v>
      </c>
      <c r="K3" s="6" t="n">
        <v>4015</v>
      </c>
      <c r="L3" s="4" t="inlineStr">
        <is>
          <t>Eduardo</t>
        </is>
      </c>
      <c r="M3" s="3" t="n"/>
      <c r="N3" s="7" t="inlineStr">
        <is>
          <t>PETROTAL PERU S.R.L.</t>
        </is>
      </c>
      <c r="O3" s="8">
        <f>SUMIF(B:B,"PETROTAL PERU S.R.L.",G:G)</f>
        <v/>
      </c>
      <c r="P3" s="9">
        <f>COUNTIF(B:B,"PETROTAL PERU S.R.L.")</f>
        <v/>
      </c>
      <c r="Q3" s="3" t="n"/>
    </row>
    <row r="4">
      <c r="A4" s="10" t="inlineStr">
        <is>
          <t>264004A-VALP-S</t>
        </is>
      </c>
      <c r="B4" s="10" t="inlineStr">
        <is>
          <t>Valero Peru S.A.C</t>
        </is>
      </c>
      <c r="C4" s="10" t="inlineStr">
        <is>
          <t>4506904067</t>
        </is>
      </c>
      <c r="D4" s="10" t="inlineStr">
        <is>
          <t>Actualización de Arquitectura de Red de Control y Memoria Descriptiva 2026</t>
        </is>
      </c>
      <c r="E4" s="11" t="n">
        <v>46062</v>
      </c>
      <c r="F4" s="11" t="n">
        <v>46066</v>
      </c>
      <c r="G4" s="12" t="n">
        <v>660.7142857142857</v>
      </c>
      <c r="H4" s="12" t="n">
        <v>125</v>
      </c>
      <c r="I4" s="12" t="n">
        <v>446.4285714285714</v>
      </c>
      <c r="J4" s="12" t="n">
        <v>0</v>
      </c>
      <c r="K4" s="12" t="n">
        <v>89.28571428571429</v>
      </c>
      <c r="L4" s="10" t="inlineStr">
        <is>
          <t>Eduardo</t>
        </is>
      </c>
      <c r="M4" s="3" t="n"/>
      <c r="N4" s="7" t="inlineStr">
        <is>
          <t>SERTECPET</t>
        </is>
      </c>
      <c r="O4" s="8">
        <f>SUMIF(B:B,"SERTECPET",G:G)</f>
        <v/>
      </c>
      <c r="P4" s="9">
        <f>COUNTIF(B:B,"SERTECPET")</f>
        <v/>
      </c>
      <c r="Q4" s="3" t="n"/>
    </row>
    <row r="5">
      <c r="A5" s="4" t="inlineStr">
        <is>
          <t>264005A-TDP-S</t>
        </is>
      </c>
      <c r="B5" s="4" t="inlineStr">
        <is>
          <t>TERMINALES DEL PERÚ</t>
        </is>
      </c>
      <c r="C5" s="4" t="inlineStr">
        <is>
          <t>34921</t>
        </is>
      </c>
      <c r="D5" s="4" t="inlineStr">
        <is>
          <t>Programación y Visualización de señales de alarmas</t>
        </is>
      </c>
      <c r="E5" s="5" t="n">
        <v>46066</v>
      </c>
      <c r="F5" s="5" t="n">
        <v>46086</v>
      </c>
      <c r="G5" s="6" t="n">
        <v>3380</v>
      </c>
      <c r="H5" s="6" t="n">
        <v>1100</v>
      </c>
      <c r="I5" s="6" t="n">
        <v>1900</v>
      </c>
      <c r="J5" s="6" t="n">
        <v>0</v>
      </c>
      <c r="K5" s="6" t="n">
        <v>380</v>
      </c>
      <c r="L5" s="4" t="inlineStr">
        <is>
          <t>Luisa</t>
        </is>
      </c>
      <c r="M5" s="3" t="n"/>
      <c r="N5" s="7" t="inlineStr">
        <is>
          <t>TERMINALES DEL PERÚ</t>
        </is>
      </c>
      <c r="O5" s="8">
        <f>SUMIF(B:B,"TERMINALES DEL PERÚ",G:G)</f>
        <v/>
      </c>
      <c r="P5" s="9">
        <f>COUNTIF(B:B,"TERMINALES DEL PERÚ")</f>
        <v/>
      </c>
      <c r="Q5" s="3" t="n"/>
    </row>
    <row r="6">
      <c r="A6" s="10" t="inlineStr">
        <is>
          <t>264002C-PTTL-P</t>
        </is>
      </c>
      <c r="B6" s="10" t="inlineStr">
        <is>
          <t>PETROTAL PERU S.R.L.</t>
        </is>
      </c>
      <c r="C6" s="10" t="inlineStr">
        <is>
          <t>315-OC CNT-2023-064</t>
        </is>
      </c>
      <c r="D6" s="10" t="inlineStr">
        <is>
          <t>Adenda - 315-CNT-2023-064 - Servicio de control y automatización - Lote 95 - 1 año</t>
        </is>
      </c>
      <c r="E6" s="11" t="n">
        <v>46081</v>
      </c>
      <c r="F6" s="11" t="n">
        <v>46387</v>
      </c>
      <c r="G6" s="12" t="n">
        <v>165000</v>
      </c>
      <c r="H6" s="12" t="n">
        <v>35668.33</v>
      </c>
      <c r="I6" s="12" t="n">
        <v>107675</v>
      </c>
      <c r="J6" s="12" t="n">
        <v>0</v>
      </c>
      <c r="K6" s="12" t="n">
        <v>21656.67</v>
      </c>
      <c r="L6" s="10" t="inlineStr">
        <is>
          <t>Eduardo</t>
        </is>
      </c>
      <c r="M6" s="3" t="n"/>
      <c r="N6" s="7" t="inlineStr">
        <is>
          <t>Valero Peru S.A.C</t>
        </is>
      </c>
      <c r="O6" s="8">
        <f>SUMIF(B:B,"Valero Peru S.A.C",G:G)</f>
        <v/>
      </c>
      <c r="P6" s="9">
        <f>COUNTIF(B:B,"Valero Peru S.A.C")</f>
        <v/>
      </c>
      <c r="Q6" s="3" t="n"/>
    </row>
    <row r="7">
      <c r="A7" s="4" t="inlineStr">
        <is>
          <t>264010B-TDP-S</t>
        </is>
      </c>
      <c r="B7" s="4" t="inlineStr">
        <is>
          <t>TERMINALES DEL PERÚ</t>
        </is>
      </c>
      <c r="C7" s="4" t="inlineStr">
        <is>
          <t>35462</t>
        </is>
      </c>
      <c r="D7" s="4" t="inlineStr">
        <is>
          <t>Creación de nuevas operaciones en PLC</t>
        </is>
      </c>
      <c r="E7" s="5" t="n">
        <v>46093</v>
      </c>
      <c r="F7" s="5" t="n">
        <v>46099</v>
      </c>
      <c r="G7" s="6" t="n">
        <v>2240</v>
      </c>
      <c r="H7" s="6" t="n">
        <v>800</v>
      </c>
      <c r="I7" s="6" t="n">
        <v>1200</v>
      </c>
      <c r="J7" s="6" t="n">
        <v>0</v>
      </c>
      <c r="K7" s="6" t="n">
        <v>240</v>
      </c>
      <c r="L7" s="4" t="inlineStr">
        <is>
          <t>Eduardo</t>
        </is>
      </c>
      <c r="M7" s="3" t="n"/>
      <c r="N7" s="13" t="n"/>
      <c r="O7" s="14">
        <f>SUM(G3:G12)</f>
        <v/>
      </c>
      <c r="P7" s="15">
        <f>COUNTA(A3:A12)</f>
        <v/>
      </c>
      <c r="Q7" s="3" t="n"/>
    </row>
    <row r="8">
      <c r="A8" s="10" t="inlineStr">
        <is>
          <t>264011A-VALP-S</t>
        </is>
      </c>
      <c r="B8" s="10" t="inlineStr">
        <is>
          <t>Valero Peru S.A.C</t>
        </is>
      </c>
      <c r="C8" s="10" t="inlineStr">
        <is>
          <t>4506906067</t>
        </is>
      </c>
      <c r="D8" s="10" t="inlineStr">
        <is>
          <t>Actualización de planos  del TCOM 2 y TCOM 3.</t>
        </is>
      </c>
      <c r="E8" s="11" t="n">
        <v>46094</v>
      </c>
      <c r="F8" s="11" t="n">
        <v>46108</v>
      </c>
      <c r="G8" s="12" t="n">
        <v>701.7543859649123</v>
      </c>
      <c r="H8" s="12" t="n">
        <v>365.4970760233918</v>
      </c>
      <c r="I8" s="12" t="n">
        <v>283.625730994152</v>
      </c>
      <c r="J8" s="12" t="n">
        <v>0</v>
      </c>
      <c r="K8" s="12" t="n">
        <v>52.63157894736842</v>
      </c>
      <c r="L8" s="10" t="inlineStr">
        <is>
          <t>Eduardo</t>
        </is>
      </c>
      <c r="M8" s="3" t="n"/>
      <c r="N8" s="3" t="n"/>
      <c r="O8" s="3" t="n"/>
      <c r="P8" s="3" t="n"/>
      <c r="Q8" s="3" t="n"/>
    </row>
    <row r="9">
      <c r="A9" s="4" t="inlineStr">
        <is>
          <t>264017A-VALP-S</t>
        </is>
      </c>
      <c r="B9" s="4" t="inlineStr">
        <is>
          <t>Valero Peru S.A.C</t>
        </is>
      </c>
      <c r="C9" s="4" t="inlineStr">
        <is>
          <t>4506976498</t>
        </is>
      </c>
      <c r="D9" s="4" t="inlineStr">
        <is>
          <t>INTEGRACIÓN TANQUE B2 - SCADA</t>
        </is>
      </c>
      <c r="E9" s="5" t="n">
        <v>46171</v>
      </c>
      <c r="F9" s="5" t="n">
        <v>46176</v>
      </c>
      <c r="G9" s="6" t="n">
        <v>389.041095890411</v>
      </c>
      <c r="H9" s="6" t="n">
        <v>93.15068493150685</v>
      </c>
      <c r="I9" s="6" t="n">
        <v>246.5753424657534</v>
      </c>
      <c r="J9" s="6" t="n">
        <v>0</v>
      </c>
      <c r="K9" s="6" t="n">
        <v>49.31506849315068</v>
      </c>
      <c r="L9" s="4" t="inlineStr">
        <is>
          <t>Claudia</t>
        </is>
      </c>
      <c r="M9" s="3" t="n"/>
      <c r="N9" s="16" t="inlineStr">
        <is>
          <t>Concepto</t>
        </is>
      </c>
      <c r="O9" s="16" t="inlineStr">
        <is>
          <t>Monto</t>
        </is>
      </c>
      <c r="Q9" s="3" t="n"/>
    </row>
    <row r="10">
      <c r="A10" s="10" t="inlineStr">
        <is>
          <t>264018A-TDP-S</t>
        </is>
      </c>
      <c r="B10" s="10" t="inlineStr">
        <is>
          <t>TERMINALES DEL PERÚ</t>
        </is>
      </c>
      <c r="C10" s="10" t="inlineStr">
        <is>
          <t>35852</t>
        </is>
      </c>
      <c r="D10" s="10" t="inlineStr">
        <is>
          <t>Cambio de configuración de bombas de Diesel.</t>
        </is>
      </c>
      <c r="E10" s="11" t="n">
        <v>46182</v>
      </c>
      <c r="F10" s="11" t="n">
        <v>46183</v>
      </c>
      <c r="G10" s="12" t="n">
        <v>572</v>
      </c>
      <c r="H10" s="12" t="n">
        <v>212</v>
      </c>
      <c r="I10" s="12" t="n">
        <v>300</v>
      </c>
      <c r="J10" s="12" t="n">
        <v>0</v>
      </c>
      <c r="K10" s="12" t="n">
        <v>60</v>
      </c>
      <c r="L10" s="10" t="inlineStr">
        <is>
          <t>Eduardo</t>
        </is>
      </c>
      <c r="M10" s="3" t="n"/>
      <c r="N10" s="7" t="inlineStr">
        <is>
          <t>costo</t>
        </is>
      </c>
      <c r="O10" s="8">
        <f>SUM(H3:H12)</f>
        <v/>
      </c>
      <c r="Q10" s="3" t="n"/>
    </row>
    <row r="11">
      <c r="A11" s="4" t="inlineStr">
        <is>
          <t>264016B-SERTECPET-S</t>
        </is>
      </c>
      <c r="B11" s="4" t="inlineStr">
        <is>
          <t>SERTECPET</t>
        </is>
      </c>
      <c r="C11" s="4" t="inlineStr">
        <is>
          <t>POC0017247</t>
        </is>
      </c>
      <c r="D11" s="4" t="inlineStr">
        <is>
          <t>Servicio de programación del Sistema de BPCS y SSS L2 EXTENDIDO DEL CAMPO BRETAÑA NORTE - Primera etapa (1-5)</t>
        </is>
      </c>
      <c r="E11" s="5" t="n">
        <v>46199</v>
      </c>
      <c r="F11" s="5" t="n">
        <v>46229</v>
      </c>
      <c r="G11" s="6" t="n">
        <v>21276.8</v>
      </c>
      <c r="H11" s="6" t="n">
        <v>1896.8</v>
      </c>
      <c r="I11" s="6" t="n">
        <v>17100</v>
      </c>
      <c r="J11" s="6" t="n">
        <v>0</v>
      </c>
      <c r="K11" s="6" t="n">
        <v>2280</v>
      </c>
      <c r="L11" s="4" t="inlineStr">
        <is>
          <t>Eduardo</t>
        </is>
      </c>
      <c r="M11" s="3" t="n"/>
      <c r="N11" s="7" t="inlineStr">
        <is>
          <t>HH Propia</t>
        </is>
      </c>
      <c r="O11" s="8">
        <f>SUM(I3:I12)</f>
        <v/>
      </c>
      <c r="Q11" s="3" t="n"/>
    </row>
    <row r="12">
      <c r="A12" s="10" t="inlineStr">
        <is>
          <t>264021A-VALP-S</t>
        </is>
      </c>
      <c r="B12" s="10" t="inlineStr">
        <is>
          <t>Valero Peru S.A.C</t>
        </is>
      </c>
      <c r="C12" s="10" t="inlineStr">
        <is>
          <t>None</t>
        </is>
      </c>
      <c r="D12" s="10" t="inlineStr">
        <is>
          <t>Integración de PTARI al SCADA.</t>
        </is>
      </c>
      <c r="E12" s="11" t="n">
        <v>46217</v>
      </c>
      <c r="F12" s="11" t="n">
        <v>46233</v>
      </c>
      <c r="G12" s="12" t="n">
        <v>880</v>
      </c>
      <c r="H12" s="12" t="n">
        <v>160</v>
      </c>
      <c r="I12" s="12" t="n">
        <v>600</v>
      </c>
      <c r="J12" s="12" t="n">
        <v>0</v>
      </c>
      <c r="K12" s="12" t="n">
        <v>120</v>
      </c>
      <c r="L12" s="10" t="inlineStr">
        <is>
          <t>Eduardo</t>
        </is>
      </c>
      <c r="M12" s="3" t="n"/>
      <c r="N12" s="7" t="inlineStr">
        <is>
          <t>Imprevisto</t>
        </is>
      </c>
      <c r="O12" s="8">
        <f>SUM(J3:J12)</f>
        <v/>
      </c>
      <c r="Q12" s="3" t="n"/>
    </row>
    <row r="13">
      <c r="A13" s="20" t="inlineStr">
        <is>
          <t>TOTAL</t>
        </is>
      </c>
      <c r="B13" s="21" t="n"/>
      <c r="C13" s="21" t="n"/>
      <c r="D13" s="21" t="n"/>
      <c r="E13" s="21" t="n"/>
      <c r="F13" s="21" t="n"/>
      <c r="G13" s="22">
        <f>SUM(G3:G12)</f>
        <v/>
      </c>
      <c r="H13" s="22">
        <f>SUM(H3:H12)</f>
        <v/>
      </c>
      <c r="I13" s="22">
        <f>SUM(I3:I12)</f>
        <v/>
      </c>
      <c r="J13" s="22">
        <f>SUM(J3:J12)</f>
        <v/>
      </c>
      <c r="K13" s="22">
        <f>SUM(K3:K12)</f>
        <v/>
      </c>
      <c r="L13" s="21" t="inlineStr"/>
      <c r="M13" s="3" t="n"/>
      <c r="N13" s="7" t="inlineStr">
        <is>
          <t>Utilidad</t>
        </is>
      </c>
      <c r="O13" s="8">
        <f>SUM(K3:K12)</f>
        <v/>
      </c>
      <c r="Q13" s="3" t="n"/>
    </row>
    <row r="14">
      <c r="M14" s="3" t="n"/>
      <c r="N14" s="17" t="n"/>
      <c r="O14" s="14">
        <f>SUM(O10:O13)</f>
        <v/>
      </c>
      <c r="Q14" s="3" t="n"/>
    </row>
    <row r="15">
      <c r="M15" s="3" t="n"/>
      <c r="Q15" s="3" t="n"/>
    </row>
    <row r="16">
      <c r="M16" s="3" t="n"/>
      <c r="N16" s="18" t="inlineStr">
        <is>
          <t>KPI OIL</t>
        </is>
      </c>
      <c r="O16" s="14">
        <f>O11+O13</f>
        <v/>
      </c>
      <c r="Q16" s="3" t="n"/>
    </row>
    <row r="17">
      <c r="M17" s="3" t="n"/>
      <c r="N17" s="19">
        <f>NOW()</f>
        <v/>
      </c>
      <c r="Q17" s="3" t="n"/>
    </row>
    <row r="18">
      <c r="M18" s="3" t="n"/>
      <c r="Q18" s="3" t="n"/>
    </row>
    <row r="19">
      <c r="M19" s="3" t="n"/>
      <c r="Q19" s="3" t="n"/>
    </row>
    <row r="20">
      <c r="M20" s="3" t="n"/>
      <c r="Q20" s="3" t="n"/>
    </row>
    <row r="21">
      <c r="M21" s="3" t="n"/>
      <c r="Q21" s="3" t="n"/>
    </row>
    <row r="22">
      <c r="M22" s="3" t="n"/>
      <c r="Q22" s="3" t="n"/>
    </row>
    <row r="23">
      <c r="M23" s="3" t="n"/>
      <c r="Q23" s="3" t="n"/>
    </row>
    <row r="24">
      <c r="M24" s="3" t="n"/>
      <c r="Q24" s="3" t="n"/>
    </row>
    <row r="25">
      <c r="M25" s="3" t="n"/>
      <c r="Q25" s="3" t="n"/>
    </row>
    <row r="26">
      <c r="M26" s="3" t="n"/>
      <c r="Q26" s="3" t="n"/>
    </row>
    <row r="27">
      <c r="M27" s="3" t="n"/>
      <c r="Q27" s="3" t="n"/>
    </row>
    <row r="28">
      <c r="M28" s="3" t="n"/>
      <c r="Q28" s="3" t="n"/>
    </row>
    <row r="29">
      <c r="M29" s="3" t="n"/>
      <c r="Q29" s="3" t="n"/>
    </row>
    <row r="30">
      <c r="M30" s="3" t="n"/>
      <c r="Q30" s="3" t="n"/>
    </row>
    <row r="31">
      <c r="M31" s="3" t="n"/>
      <c r="Q31" s="3" t="n"/>
    </row>
    <row r="32">
      <c r="M32" s="3" t="n"/>
      <c r="Q32" s="3" t="n"/>
    </row>
    <row r="33">
      <c r="M33" s="3" t="n"/>
      <c r="Q33" s="3" t="n"/>
    </row>
    <row r="34">
      <c r="M34" s="3" t="n"/>
      <c r="Q34" s="3" t="n"/>
    </row>
    <row r="35">
      <c r="M35" s="3" t="n"/>
      <c r="Q35" s="3" t="n"/>
    </row>
    <row r="36">
      <c r="M36" s="3" t="n"/>
      <c r="Q36" s="3" t="n"/>
    </row>
    <row r="37">
      <c r="M37" s="3" t="n"/>
      <c r="Q37" s="3" t="n"/>
    </row>
    <row r="38">
      <c r="M38" s="3" t="n"/>
      <c r="Q38" s="3" t="n"/>
    </row>
    <row r="39">
      <c r="M39" s="3" t="n"/>
      <c r="Q39" s="3" t="n"/>
    </row>
    <row r="40">
      <c r="M40" s="3" t="n"/>
      <c r="Q40" s="3" t="n"/>
    </row>
    <row r="41">
      <c r="M41" s="3" t="n"/>
      <c r="Q41" s="3" t="n"/>
    </row>
    <row r="42">
      <c r="M42" s="3" t="n"/>
      <c r="Q42" s="3" t="n"/>
    </row>
    <row r="43">
      <c r="M43" s="3" t="n"/>
      <c r="Q43" s="3" t="n"/>
    </row>
  </sheetData>
  <autoFilter ref="A2:L12"/>
  <mergeCells count="2">
    <mergeCell ref="A13:F13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74" customWidth="1" min="4" max="4"/>
    <col width="13" customWidth="1" min="5" max="5"/>
    <col width="16" customWidth="1" min="6" max="6"/>
    <col width="22" customWidth="1" min="7" max="7"/>
    <col width="21" customWidth="1" min="8" max="8"/>
    <col width="21" customWidth="1" min="9" max="9"/>
    <col width="18" customWidth="1" min="10" max="10"/>
    <col width="21" customWidth="1" min="11" max="11"/>
    <col width="14" customWidth="1" min="12" max="12"/>
    <col width="12" customWidth="1" min="13" max="13"/>
    <col width="21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ORDENES DE COMPRA INDUSTRIA</t>
        </is>
      </c>
    </row>
    <row r="2">
      <c r="A2" s="2" t="inlineStr">
        <is>
          <t>CÓDIGO</t>
        </is>
      </c>
      <c r="B2" s="2" t="inlineStr">
        <is>
          <t>CLIENTES</t>
        </is>
      </c>
      <c r="C2" s="2" t="inlineStr">
        <is>
          <t>Nº Orden</t>
        </is>
      </c>
      <c r="D2" s="2" t="inlineStr">
        <is>
          <t>PROYECTO</t>
        </is>
      </c>
      <c r="E2" s="2" t="inlineStr">
        <is>
          <t>FECHA O/C</t>
        </is>
      </c>
      <c r="F2" s="2" t="inlineStr">
        <is>
          <t>FECHA ENTREGA</t>
        </is>
      </c>
      <c r="G2" s="2" t="inlineStr">
        <is>
          <t>VALOR PRESUPUESTO $</t>
        </is>
      </c>
      <c r="H2" s="2" t="inlineStr">
        <is>
          <t>COSTO</t>
        </is>
      </c>
      <c r="I2" s="2" t="inlineStr">
        <is>
          <t>HH Propia</t>
        </is>
      </c>
      <c r="J2" s="2" t="inlineStr">
        <is>
          <t>IMPREVISTOS</t>
        </is>
      </c>
      <c r="K2" s="2" t="inlineStr">
        <is>
          <t>UTILIDAD</t>
        </is>
      </c>
      <c r="L2" s="2" t="inlineStr">
        <is>
          <t>Personal</t>
        </is>
      </c>
      <c r="M2" s="3" t="n"/>
      <c r="N2" s="2" t="inlineStr">
        <is>
          <t>Empresa</t>
        </is>
      </c>
      <c r="O2" s="2" t="inlineStr">
        <is>
          <t>Monto O/C</t>
        </is>
      </c>
      <c r="P2" s="2" t="inlineStr">
        <is>
          <t>Cantidad</t>
        </is>
      </c>
      <c r="Q2" s="3" t="n"/>
    </row>
    <row r="3">
      <c r="A3" s="4" t="inlineStr">
        <is>
          <t>261002A-RINTI-S</t>
        </is>
      </c>
      <c r="B3" s="4" t="inlineStr">
        <is>
          <t>RINTI S.A.</t>
        </is>
      </c>
      <c r="C3" s="4" t="inlineStr">
        <is>
          <t>278386940</t>
        </is>
      </c>
      <c r="D3" s="4" t="inlineStr">
        <is>
          <t>Temperatura silos 4000</t>
        </is>
      </c>
      <c r="E3" s="5" t="n">
        <v>46010</v>
      </c>
      <c r="F3" s="5" t="n">
        <v>46022</v>
      </c>
      <c r="G3" s="6" t="n">
        <v>3300</v>
      </c>
      <c r="H3" s="6" t="n">
        <v>420</v>
      </c>
      <c r="I3" s="6" t="n">
        <v>2400</v>
      </c>
      <c r="J3" s="6" t="n">
        <v>0</v>
      </c>
      <c r="K3" s="6" t="n">
        <v>480</v>
      </c>
      <c r="L3" s="4" t="inlineStr">
        <is>
          <t>Claudia</t>
        </is>
      </c>
      <c r="M3" s="3" t="n"/>
      <c r="N3" s="7" t="inlineStr">
        <is>
          <t>Casa Grande S.A.A.</t>
        </is>
      </c>
      <c r="O3" s="8">
        <f>SUMIF(B:B,"Casa Grande S.A.A.",G:G)</f>
        <v/>
      </c>
      <c r="P3" s="9">
        <f>COUNTIF(B:B,"Casa Grande S.A.A.")</f>
        <v/>
      </c>
      <c r="Q3" s="3" t="n"/>
    </row>
    <row r="4">
      <c r="A4" s="10" t="inlineStr">
        <is>
          <t>261007A-RINTI-V</t>
        </is>
      </c>
      <c r="B4" s="10" t="inlineStr">
        <is>
          <t>RINTI S.A.</t>
        </is>
      </c>
      <c r="C4" s="10" t="inlineStr">
        <is>
          <t>OPC2026 - 285410551</t>
        </is>
      </c>
      <c r="D4" s="10" t="inlineStr">
        <is>
          <t>Canfield Connector Reed switch</t>
        </is>
      </c>
      <c r="E4" s="11" t="n">
        <v>46030</v>
      </c>
      <c r="F4" s="11" t="n">
        <v>46058</v>
      </c>
      <c r="G4" s="12" t="n">
        <v>532.5</v>
      </c>
      <c r="H4" s="12" t="n">
        <v>471</v>
      </c>
      <c r="I4" s="12" t="n">
        <v>0</v>
      </c>
      <c r="J4" s="12" t="n">
        <v>0</v>
      </c>
      <c r="K4" s="12" t="n">
        <v>61.5</v>
      </c>
      <c r="L4" s="10" t="inlineStr">
        <is>
          <t>Claudia</t>
        </is>
      </c>
      <c r="M4" s="3" t="n"/>
      <c r="N4" s="7" t="inlineStr">
        <is>
          <t>MONDELEZ PERU S.A.</t>
        </is>
      </c>
      <c r="O4" s="8">
        <f>SUMIF(B:B,"MONDELEZ PERU S.A.",G:G)</f>
        <v/>
      </c>
      <c r="P4" s="9">
        <f>COUNTIF(B:B,"MONDELEZ PERU S.A.")</f>
        <v/>
      </c>
      <c r="Q4" s="3" t="n"/>
    </row>
    <row r="5">
      <c r="A5" s="4" t="inlineStr">
        <is>
          <t>251104B-TRUPAL-S</t>
        </is>
      </c>
      <c r="B5" s="4" t="inlineStr">
        <is>
          <t>TRUPAL S.A.</t>
        </is>
      </c>
      <c r="C5" s="4" t="inlineStr">
        <is>
          <t>4602052586</t>
        </is>
      </c>
      <c r="D5" s="4" t="inlineStr">
        <is>
          <t>Servicio de emergencia -  Drive PF trupal Trujillo</t>
        </is>
      </c>
      <c r="E5" s="5" t="n">
        <v>46043</v>
      </c>
      <c r="F5" s="5" t="n">
        <v>46044</v>
      </c>
      <c r="G5" s="6" t="n">
        <v>366</v>
      </c>
      <c r="H5" s="6" t="n">
        <v>333</v>
      </c>
      <c r="I5" s="6" t="n">
        <v>0</v>
      </c>
      <c r="J5" s="6" t="n">
        <v>0</v>
      </c>
      <c r="K5" s="6" t="n">
        <v>33</v>
      </c>
      <c r="L5" s="4" t="inlineStr">
        <is>
          <t>Eduardo</t>
        </is>
      </c>
      <c r="M5" s="3" t="n"/>
      <c r="N5" s="7" t="inlineStr">
        <is>
          <t>Nestle</t>
        </is>
      </c>
      <c r="O5" s="8">
        <f>SUMIF(B:B,"Nestle",G:G)</f>
        <v/>
      </c>
      <c r="P5" s="9">
        <f>COUNTIF(B:B,"Nestle")</f>
        <v/>
      </c>
      <c r="Q5" s="3" t="n"/>
    </row>
    <row r="6">
      <c r="A6" s="10" t="inlineStr">
        <is>
          <t>261009A-NESTLE-S</t>
        </is>
      </c>
      <c r="B6" s="10" t="inlineStr">
        <is>
          <t>Nestle</t>
        </is>
      </c>
      <c r="C6" s="10" t="inlineStr">
        <is>
          <t>4580571581</t>
        </is>
      </c>
      <c r="D6" s="10" t="inlineStr">
        <is>
          <t>Modificación SCADA para visualización sensores de Gas</t>
        </is>
      </c>
      <c r="E6" s="11" t="n">
        <v>46045</v>
      </c>
      <c r="F6" s="11" t="n">
        <v>46050</v>
      </c>
      <c r="G6" s="12" t="n">
        <v>1664.64</v>
      </c>
      <c r="H6" s="12" t="n">
        <v>700</v>
      </c>
      <c r="I6" s="12" t="n">
        <v>803.88</v>
      </c>
      <c r="J6" s="12" t="n">
        <v>0</v>
      </c>
      <c r="K6" s="12" t="n">
        <v>160.76</v>
      </c>
      <c r="L6" s="10" t="inlineStr">
        <is>
          <t>Eduardo</t>
        </is>
      </c>
      <c r="M6" s="3" t="n"/>
      <c r="N6" s="7" t="inlineStr">
        <is>
          <t>RINTI S.A.</t>
        </is>
      </c>
      <c r="O6" s="8">
        <f>SUMIF(B:B,"RINTI S.A.",G:G)</f>
        <v/>
      </c>
      <c r="P6" s="9">
        <f>COUNTIF(B:B,"RINTI S.A.")</f>
        <v/>
      </c>
      <c r="Q6" s="3" t="n"/>
    </row>
    <row r="7">
      <c r="A7" s="4" t="inlineStr">
        <is>
          <t>261011A-NESTLE-S</t>
        </is>
      </c>
      <c r="B7" s="4" t="inlineStr">
        <is>
          <t>Nestle</t>
        </is>
      </c>
      <c r="C7" s="4" t="inlineStr">
        <is>
          <t>4580661549</t>
        </is>
      </c>
      <c r="D7" s="4" t="inlineStr">
        <is>
          <t>Revisión del PLC de los sensores de amoniaco</t>
        </is>
      </c>
      <c r="E7" s="5" t="n">
        <v>46058</v>
      </c>
      <c r="F7" s="5" t="n">
        <v>46061</v>
      </c>
      <c r="G7" s="6" t="n">
        <v>125.3731343283582</v>
      </c>
      <c r="H7" s="6" t="n">
        <v>35.82089552238806</v>
      </c>
      <c r="I7" s="6" t="n">
        <v>74.6268656716418</v>
      </c>
      <c r="J7" s="6" t="n">
        <v>0</v>
      </c>
      <c r="K7" s="6" t="n">
        <v>14.92537313432836</v>
      </c>
      <c r="L7" s="4" t="inlineStr">
        <is>
          <t>Eduardo</t>
        </is>
      </c>
      <c r="M7" s="3" t="n"/>
      <c r="N7" s="7" t="inlineStr">
        <is>
          <t>TRUPAL S.A.</t>
        </is>
      </c>
      <c r="O7" s="8">
        <f>SUMIF(B:B,"TRUPAL S.A.",G:G)</f>
        <v/>
      </c>
      <c r="P7" s="9">
        <f>COUNTIF(B:B,"TRUPAL S.A.")</f>
        <v/>
      </c>
      <c r="Q7" s="3" t="n"/>
    </row>
    <row r="8">
      <c r="A8" s="10" t="inlineStr">
        <is>
          <t>261018A-MDZ-S</t>
        </is>
      </c>
      <c r="B8" s="10" t="inlineStr">
        <is>
          <t>MONDELEZ PERU S.A.</t>
        </is>
      </c>
      <c r="C8" s="10" t="inlineStr">
        <is>
          <t>7333061880</t>
        </is>
      </c>
      <c r="D8" s="10" t="inlineStr">
        <is>
          <t>CONFIGURACION DE RED INDUSTRIAL L5</t>
        </is>
      </c>
      <c r="E8" s="11" t="n">
        <v>46073</v>
      </c>
      <c r="F8" s="11" t="n">
        <v>46112</v>
      </c>
      <c r="G8" s="12" t="n">
        <v>4101.85294117647</v>
      </c>
      <c r="H8" s="12" t="n">
        <v>1726.470588235294</v>
      </c>
      <c r="I8" s="12" t="n">
        <v>2159.382352941177</v>
      </c>
      <c r="J8" s="12" t="n">
        <v>0</v>
      </c>
      <c r="K8" s="12" t="n">
        <v>216</v>
      </c>
      <c r="L8" s="10" t="inlineStr">
        <is>
          <t>Claudia</t>
        </is>
      </c>
      <c r="M8" s="3" t="n"/>
      <c r="N8" s="13" t="n"/>
      <c r="O8" s="14">
        <f>SUM(G3:G15)</f>
        <v/>
      </c>
      <c r="P8" s="15">
        <f>COUNTA(A3:A15)</f>
        <v/>
      </c>
      <c r="Q8" s="3" t="n"/>
    </row>
    <row r="9">
      <c r="A9" s="4" t="inlineStr">
        <is>
          <t>261021A-CSSAA-P</t>
        </is>
      </c>
      <c r="B9" s="4" t="inlineStr">
        <is>
          <t>Casa Grande S.A.A.</t>
        </is>
      </c>
      <c r="C9" s="4" t="inlineStr">
        <is>
          <t>4602099881</t>
        </is>
      </c>
      <c r="D9" s="4" t="inlineStr">
        <is>
          <t>Servicio de soporte por emergencia PF7000</t>
        </is>
      </c>
      <c r="E9" s="5" t="n">
        <v>46054</v>
      </c>
      <c r="F9" s="5" t="n">
        <v>46085</v>
      </c>
      <c r="G9" s="6" t="n">
        <v>4616</v>
      </c>
      <c r="H9" s="6" t="n">
        <v>3826</v>
      </c>
      <c r="I9" s="6" t="n">
        <v>0</v>
      </c>
      <c r="J9" s="6" t="n">
        <v>0</v>
      </c>
      <c r="K9" s="6" t="n">
        <v>790</v>
      </c>
      <c r="L9" s="4" t="inlineStr">
        <is>
          <t>Eduardo</t>
        </is>
      </c>
      <c r="M9" s="3" t="n"/>
      <c r="N9" s="3" t="n"/>
      <c r="O9" s="3" t="n"/>
      <c r="P9" s="3" t="n"/>
      <c r="Q9" s="3" t="n"/>
    </row>
    <row r="10">
      <c r="A10" s="10" t="inlineStr">
        <is>
          <t>251121A-MDZ-V</t>
        </is>
      </c>
      <c r="B10" s="10" t="inlineStr">
        <is>
          <t>MONDELEZ PERU S.A.</t>
        </is>
      </c>
      <c r="C10" s="10" t="inlineStr">
        <is>
          <t>7333081135</t>
        </is>
      </c>
      <c r="D10" s="10" t="inlineStr">
        <is>
          <t>Suministro de licencias SQL</t>
        </is>
      </c>
      <c r="E10" s="11" t="n">
        <v>46058</v>
      </c>
      <c r="F10" s="11" t="n">
        <v>46064</v>
      </c>
      <c r="G10" s="12" t="n">
        <v>1163.928571428571</v>
      </c>
      <c r="H10" s="12" t="n">
        <v>825.6857142857143</v>
      </c>
      <c r="I10" s="12" t="n">
        <v>0</v>
      </c>
      <c r="J10" s="12" t="n">
        <v>0</v>
      </c>
      <c r="K10" s="12" t="n">
        <v>338.2428571428571</v>
      </c>
      <c r="L10" s="10" t="inlineStr">
        <is>
          <t>Eduardo</t>
        </is>
      </c>
      <c r="M10" s="3" t="n"/>
      <c r="N10" s="16" t="inlineStr">
        <is>
          <t>Concepto</t>
        </is>
      </c>
      <c r="O10" s="16" t="inlineStr">
        <is>
          <t>Monto</t>
        </is>
      </c>
      <c r="Q10" s="3" t="n"/>
    </row>
    <row r="11">
      <c r="A11" s="4" t="inlineStr">
        <is>
          <t>261028B-MDZ-S</t>
        </is>
      </c>
      <c r="B11" s="4" t="inlineStr">
        <is>
          <t>MONDELEZ PERU S.A.</t>
        </is>
      </c>
      <c r="C11" s="4" t="inlineStr">
        <is>
          <t>7333101068</t>
        </is>
      </c>
      <c r="D11" s="4" t="inlineStr">
        <is>
          <t>Migración de Switches Strarix 5700 a Stratix 5200 - L5</t>
        </is>
      </c>
      <c r="E11" s="5" t="n">
        <v>46119</v>
      </c>
      <c r="F11" s="5" t="n">
        <v>46149</v>
      </c>
      <c r="G11" s="6" t="n">
        <v>2857.142857142857</v>
      </c>
      <c r="H11" s="6" t="n">
        <v>1968.571428571429</v>
      </c>
      <c r="I11" s="6" t="n">
        <v>807.1428571428571</v>
      </c>
      <c r="J11" s="6" t="n">
        <v>0</v>
      </c>
      <c r="K11" s="6" t="n">
        <v>81.42857142857143</v>
      </c>
      <c r="L11" s="4" t="inlineStr">
        <is>
          <t>Claudia</t>
        </is>
      </c>
      <c r="M11" s="3" t="n"/>
      <c r="N11" s="7" t="inlineStr">
        <is>
          <t>costo</t>
        </is>
      </c>
      <c r="O11" s="8">
        <f>SUM(H3:H15)</f>
        <v/>
      </c>
      <c r="Q11" s="3" t="n"/>
    </row>
    <row r="12">
      <c r="A12" s="10" t="inlineStr">
        <is>
          <t>261019B-RINTI-S</t>
        </is>
      </c>
      <c r="B12" s="10" t="inlineStr">
        <is>
          <t>RINTI S.A.</t>
        </is>
      </c>
      <c r="C12" s="10" t="inlineStr">
        <is>
          <t>285411940</t>
        </is>
      </c>
      <c r="D12" s="10" t="inlineStr">
        <is>
          <t>INTEGRACIÓN Y CABLEADO DE VALVULA DE DISTRIBUIDOR DE MAÍZ (SILO 4000)</t>
        </is>
      </c>
      <c r="E12" s="11" t="n">
        <v>46108</v>
      </c>
      <c r="F12" s="11" t="n">
        <v>46170</v>
      </c>
      <c r="G12" s="12" t="n">
        <v>2180</v>
      </c>
      <c r="H12" s="12" t="n">
        <v>380</v>
      </c>
      <c r="I12" s="12" t="n">
        <v>1500</v>
      </c>
      <c r="J12" s="12" t="n">
        <v>0</v>
      </c>
      <c r="K12" s="12" t="n">
        <v>300</v>
      </c>
      <c r="L12" s="10" t="inlineStr">
        <is>
          <t>Claudia</t>
        </is>
      </c>
      <c r="M12" s="3" t="n"/>
      <c r="N12" s="7" t="inlineStr">
        <is>
          <t>HH Propia</t>
        </is>
      </c>
      <c r="O12" s="8">
        <f>SUM(I3:I15)</f>
        <v/>
      </c>
      <c r="Q12" s="3" t="n"/>
    </row>
    <row r="13">
      <c r="A13" s="4" t="inlineStr">
        <is>
          <t>261032A-NESTLE-S</t>
        </is>
      </c>
      <c r="B13" s="4" t="inlineStr">
        <is>
          <t>Nestle</t>
        </is>
      </c>
      <c r="C13" s="4" t="inlineStr">
        <is>
          <t>4581800203</t>
        </is>
      </c>
      <c r="D13" s="4" t="inlineStr">
        <is>
          <t>Parada de compresores Sala Vilter con sensor de amoniaco</t>
        </is>
      </c>
      <c r="E13" s="5" t="n">
        <v>46188</v>
      </c>
      <c r="F13" s="5" t="n">
        <v>46198</v>
      </c>
      <c r="G13" s="6" t="n">
        <v>251.4285714285714</v>
      </c>
      <c r="H13" s="6" t="n">
        <v>45.71428571428572</v>
      </c>
      <c r="I13" s="6" t="n">
        <v>171.4285714285714</v>
      </c>
      <c r="J13" s="6" t="n">
        <v>0</v>
      </c>
      <c r="K13" s="6" t="n">
        <v>34.28571428571428</v>
      </c>
      <c r="L13" s="4" t="inlineStr">
        <is>
          <t>Claudia</t>
        </is>
      </c>
      <c r="M13" s="3" t="n"/>
      <c r="N13" s="7" t="inlineStr">
        <is>
          <t>Imprevisto</t>
        </is>
      </c>
      <c r="O13" s="8">
        <f>SUM(J3:J15)</f>
        <v/>
      </c>
      <c r="Q13" s="3" t="n"/>
    </row>
    <row r="14">
      <c r="A14" s="10" t="inlineStr">
        <is>
          <t>261037B-RINTI-S</t>
        </is>
      </c>
      <c r="B14" s="10" t="inlineStr">
        <is>
          <t>RINTI S.A.</t>
        </is>
      </c>
      <c r="C14" s="10" t="inlineStr">
        <is>
          <t>None</t>
        </is>
      </c>
      <c r="D14" s="10" t="inlineStr">
        <is>
          <t>Actualización de Filosofía de Control de Multipartículas 2</t>
        </is>
      </c>
      <c r="E14" s="11" t="n">
        <v>46213</v>
      </c>
      <c r="F14" s="11" t="n">
        <v>46230</v>
      </c>
      <c r="G14" s="12" t="n">
        <v>3455</v>
      </c>
      <c r="H14" s="12" t="n">
        <v>906.96</v>
      </c>
      <c r="I14" s="12" t="n">
        <v>2060</v>
      </c>
      <c r="J14" s="12" t="n">
        <v>0</v>
      </c>
      <c r="K14" s="12" t="n">
        <v>488.04</v>
      </c>
      <c r="L14" s="10" t="inlineStr">
        <is>
          <t>Eduardo</t>
        </is>
      </c>
      <c r="M14" s="3" t="n"/>
      <c r="N14" s="7" t="inlineStr">
        <is>
          <t>Utilidad</t>
        </is>
      </c>
      <c r="O14" s="8">
        <f>SUM(K3:K15)</f>
        <v/>
      </c>
      <c r="Q14" s="3" t="n"/>
    </row>
    <row r="15">
      <c r="A15" s="4" t="inlineStr">
        <is>
          <t>261025C-NESTLE-S</t>
        </is>
      </c>
      <c r="B15" s="4" t="inlineStr">
        <is>
          <t>Nestle</t>
        </is>
      </c>
      <c r="C15" s="4" t="inlineStr">
        <is>
          <t>4582046265</t>
        </is>
      </c>
      <c r="D15" s="4" t="inlineStr">
        <is>
          <t>PE_Automatización de cambio de agua de desmolde de bombones_RFP_052026.</t>
        </is>
      </c>
      <c r="E15" s="5" t="n">
        <v>46217</v>
      </c>
      <c r="F15" s="5" t="n">
        <v>46266</v>
      </c>
      <c r="G15" s="6" t="n">
        <v>3554.444444444444</v>
      </c>
      <c r="H15" s="6" t="n">
        <v>2058.888888888889</v>
      </c>
      <c r="I15" s="6" t="n">
        <v>1192.5</v>
      </c>
      <c r="J15" s="6" t="n">
        <v>0</v>
      </c>
      <c r="K15" s="6" t="n">
        <v>303.0555555555555</v>
      </c>
      <c r="L15" s="4" t="inlineStr">
        <is>
          <t>Claudia</t>
        </is>
      </c>
      <c r="M15" s="3" t="n"/>
      <c r="N15" s="17" t="n"/>
      <c r="O15" s="14">
        <f>SUM(O11:O14)</f>
        <v/>
      </c>
      <c r="Q15" s="3" t="n"/>
    </row>
    <row r="16">
      <c r="A16" s="20" t="inlineStr">
        <is>
          <t>TOTAL</t>
        </is>
      </c>
      <c r="B16" s="21" t="n"/>
      <c r="C16" s="21" t="n"/>
      <c r="D16" s="21" t="n"/>
      <c r="E16" s="21" t="n"/>
      <c r="F16" s="21" t="n"/>
      <c r="G16" s="22">
        <f>SUM(G3:G15)</f>
        <v/>
      </c>
      <c r="H16" s="22">
        <f>SUM(H3:H15)</f>
        <v/>
      </c>
      <c r="I16" s="22">
        <f>SUM(I3:I15)</f>
        <v/>
      </c>
      <c r="J16" s="22">
        <f>SUM(J3:J15)</f>
        <v/>
      </c>
      <c r="K16" s="22">
        <f>SUM(K3:K15)</f>
        <v/>
      </c>
      <c r="L16" s="21" t="inlineStr"/>
      <c r="M16" s="3" t="n"/>
      <c r="Q16" s="3" t="n"/>
    </row>
    <row r="17">
      <c r="M17" s="3" t="n"/>
      <c r="Q17" s="3" t="n"/>
    </row>
    <row r="18">
      <c r="M18" s="3" t="n"/>
      <c r="N18" s="7" t="inlineStr">
        <is>
          <t>Por Facturar</t>
        </is>
      </c>
      <c r="O18" s="8" t="n">
        <v>0</v>
      </c>
      <c r="Q18" s="3" t="n"/>
    </row>
    <row r="19">
      <c r="M19" s="3" t="n"/>
      <c r="N19" s="7" t="inlineStr">
        <is>
          <t>Facturado</t>
        </is>
      </c>
      <c r="O19" s="8" t="n">
        <v>0</v>
      </c>
      <c r="Q19" s="3" t="n"/>
    </row>
    <row r="20">
      <c r="M20" s="3" t="n"/>
      <c r="N20" s="17" t="n"/>
      <c r="O20" s="14">
        <f>SUM(O18:O19)</f>
        <v/>
      </c>
      <c r="Q20" s="3" t="n"/>
    </row>
    <row r="21">
      <c r="M21" s="3" t="n"/>
      <c r="Q21" s="3" t="n"/>
    </row>
    <row r="22">
      <c r="M22" s="3" t="n"/>
      <c r="N22" s="18" t="inlineStr">
        <is>
          <t>KPI IND</t>
        </is>
      </c>
      <c r="O22" s="14">
        <f>O12+O14</f>
        <v/>
      </c>
      <c r="Q22" s="3" t="n"/>
    </row>
    <row r="23">
      <c r="M23" s="3" t="n"/>
      <c r="N23" s="19">
        <f>NOW()</f>
        <v/>
      </c>
      <c r="Q23" s="3" t="n"/>
    </row>
    <row r="24">
      <c r="M24" s="3" t="n"/>
      <c r="Q24" s="3" t="n"/>
    </row>
    <row r="25">
      <c r="M25" s="3" t="n"/>
      <c r="Q25" s="3" t="n"/>
    </row>
    <row r="26">
      <c r="M26" s="3" t="n"/>
      <c r="Q26" s="3" t="n"/>
    </row>
    <row r="27">
      <c r="M27" s="3" t="n"/>
      <c r="Q27" s="3" t="n"/>
    </row>
    <row r="28">
      <c r="M28" s="3" t="n"/>
      <c r="Q28" s="3" t="n"/>
    </row>
    <row r="29">
      <c r="M29" s="3" t="n"/>
      <c r="Q29" s="3" t="n"/>
    </row>
    <row r="30">
      <c r="M30" s="3" t="n"/>
      <c r="Q30" s="3" t="n"/>
    </row>
    <row r="31">
      <c r="M31" s="3" t="n"/>
      <c r="Q31" s="3" t="n"/>
    </row>
    <row r="32">
      <c r="M32" s="3" t="n"/>
      <c r="Q32" s="3" t="n"/>
    </row>
    <row r="33">
      <c r="M33" s="3" t="n"/>
      <c r="Q33" s="3" t="n"/>
    </row>
    <row r="34">
      <c r="M34" s="3" t="n"/>
      <c r="Q34" s="3" t="n"/>
    </row>
    <row r="35">
      <c r="M35" s="3" t="n"/>
      <c r="Q35" s="3" t="n"/>
    </row>
    <row r="36">
      <c r="M36" s="3" t="n"/>
      <c r="Q36" s="3" t="n"/>
    </row>
    <row r="37">
      <c r="M37" s="3" t="n"/>
      <c r="Q37" s="3" t="n"/>
    </row>
    <row r="38">
      <c r="M38" s="3" t="n"/>
      <c r="Q38" s="3" t="n"/>
    </row>
    <row r="39">
      <c r="M39" s="3" t="n"/>
      <c r="Q39" s="3" t="n"/>
    </row>
    <row r="40">
      <c r="M40" s="3" t="n"/>
      <c r="Q40" s="3" t="n"/>
    </row>
    <row r="41">
      <c r="M41" s="3" t="n"/>
      <c r="Q41" s="3" t="n"/>
    </row>
    <row r="42">
      <c r="M42" s="3" t="n"/>
      <c r="Q42" s="3" t="n"/>
    </row>
    <row r="43">
      <c r="M43" s="3" t="n"/>
      <c r="Q43" s="3" t="n"/>
    </row>
    <row r="44">
      <c r="M44" s="3" t="n"/>
      <c r="Q44" s="3" t="n"/>
    </row>
  </sheetData>
  <autoFilter ref="A2:L15"/>
  <mergeCells count="2">
    <mergeCell ref="A16:F16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16" customWidth="1" min="3" max="3"/>
    <col width="35" customWidth="1" min="4" max="4"/>
    <col width="13" customWidth="1" min="5" max="5"/>
    <col width="16" customWidth="1" min="6" max="6"/>
    <col width="22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2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ORDENES DE COMPRA SEGURIDAD DE MAQUINARIA</t>
        </is>
      </c>
    </row>
    <row r="2">
      <c r="A2" s="2" t="inlineStr">
        <is>
          <t>CÓDIGO</t>
        </is>
      </c>
      <c r="B2" s="2" t="inlineStr">
        <is>
          <t>CLIENTES</t>
        </is>
      </c>
      <c r="C2" s="2" t="inlineStr">
        <is>
          <t>Nº Orden</t>
        </is>
      </c>
      <c r="D2" s="2" t="inlineStr">
        <is>
          <t>PROYECTO</t>
        </is>
      </c>
      <c r="E2" s="2" t="inlineStr">
        <is>
          <t>FECHA O/C</t>
        </is>
      </c>
      <c r="F2" s="2" t="inlineStr">
        <is>
          <t>FECHA ENTREGA</t>
        </is>
      </c>
      <c r="G2" s="2" t="inlineStr">
        <is>
          <t>VALOR PRESUPUESTO $</t>
        </is>
      </c>
      <c r="H2" s="2" t="inlineStr">
        <is>
          <t>COSTO</t>
        </is>
      </c>
      <c r="I2" s="2" t="inlineStr">
        <is>
          <t>HH Propia</t>
        </is>
      </c>
      <c r="J2" s="2" t="inlineStr">
        <is>
          <t>IMPREVISTOS</t>
        </is>
      </c>
      <c r="K2" s="2" t="inlineStr">
        <is>
          <t>UTILIDAD</t>
        </is>
      </c>
      <c r="L2" s="2" t="inlineStr">
        <is>
          <t>Personal</t>
        </is>
      </c>
      <c r="M2" s="3" t="n"/>
      <c r="N2" s="2" t="inlineStr">
        <is>
          <t>Empresa</t>
        </is>
      </c>
      <c r="O2" s="2" t="inlineStr">
        <is>
          <t>Monto</t>
        </is>
      </c>
      <c r="P2" s="2" t="inlineStr">
        <is>
          <t>Cantidad</t>
        </is>
      </c>
      <c r="Q2" s="3" t="n"/>
    </row>
    <row r="3">
      <c r="A3" s="20" t="inlineStr">
        <is>
          <t>TOTAL</t>
        </is>
      </c>
      <c r="B3" s="21" t="inlineStr"/>
      <c r="C3" s="21" t="inlineStr"/>
      <c r="D3" s="21" t="inlineStr"/>
      <c r="E3" s="21" t="inlineStr"/>
      <c r="F3" s="21" t="inlineStr"/>
      <c r="G3" s="22" t="n">
        <v>0</v>
      </c>
      <c r="H3" s="22" t="n">
        <v>0</v>
      </c>
      <c r="I3" s="22" t="n">
        <v>0</v>
      </c>
      <c r="J3" s="22" t="n">
        <v>0</v>
      </c>
      <c r="K3" s="22" t="n">
        <v>0</v>
      </c>
      <c r="L3" s="21" t="inlineStr"/>
      <c r="M3" s="3" t="n"/>
      <c r="N3" s="13" t="n"/>
      <c r="O3" s="14">
        <f>SUM(G3:G2)</f>
        <v/>
      </c>
      <c r="P3" s="15">
        <f>COUNTA(A3:A2)</f>
        <v/>
      </c>
      <c r="Q3" s="3" t="n"/>
    </row>
    <row r="4">
      <c r="M4" s="3" t="n"/>
      <c r="N4" s="3" t="n"/>
      <c r="O4" s="3" t="n"/>
      <c r="P4" s="3" t="n"/>
      <c r="Q4" s="3" t="n"/>
    </row>
    <row r="5">
      <c r="M5" s="3" t="n"/>
      <c r="N5" s="16" t="inlineStr">
        <is>
          <t>Concepto</t>
        </is>
      </c>
      <c r="O5" s="16" t="inlineStr">
        <is>
          <t>Monto</t>
        </is>
      </c>
      <c r="Q5" s="3" t="n"/>
    </row>
    <row r="6">
      <c r="M6" s="3" t="n"/>
      <c r="N6" s="7" t="inlineStr">
        <is>
          <t>costo</t>
        </is>
      </c>
      <c r="O6" s="8">
        <f>SUM(H3:H2)</f>
        <v/>
      </c>
      <c r="Q6" s="3" t="n"/>
    </row>
    <row r="7">
      <c r="M7" s="3" t="n"/>
      <c r="N7" s="7" t="inlineStr">
        <is>
          <t>HH Propia</t>
        </is>
      </c>
      <c r="O7" s="8">
        <f>SUM(I3:I2)</f>
        <v/>
      </c>
      <c r="Q7" s="3" t="n"/>
    </row>
    <row r="8">
      <c r="M8" s="3" t="n"/>
      <c r="N8" s="7" t="inlineStr">
        <is>
          <t>Imprevisto</t>
        </is>
      </c>
      <c r="O8" s="8">
        <f>SUM(J3:J2)</f>
        <v/>
      </c>
      <c r="Q8" s="3" t="n"/>
    </row>
    <row r="9">
      <c r="M9" s="3" t="n"/>
      <c r="N9" s="7" t="inlineStr">
        <is>
          <t>Utilidad</t>
        </is>
      </c>
      <c r="O9" s="8">
        <f>SUM(K3:K2)</f>
        <v/>
      </c>
      <c r="Q9" s="3" t="n"/>
    </row>
    <row r="10">
      <c r="M10" s="3" t="n"/>
      <c r="N10" s="17" t="n"/>
      <c r="O10" s="14">
        <f>SUM(O6:O9)</f>
        <v/>
      </c>
      <c r="Q10" s="3" t="n"/>
    </row>
    <row r="11">
      <c r="M11" s="3" t="n"/>
      <c r="Q11" s="3" t="n"/>
    </row>
    <row r="12">
      <c r="M12" s="3" t="n"/>
      <c r="Q12" s="3" t="n"/>
    </row>
    <row r="13">
      <c r="M13" s="3" t="n"/>
      <c r="N13" s="7" t="inlineStr">
        <is>
          <t>Por Facturar</t>
        </is>
      </c>
      <c r="O13" s="8" t="n">
        <v>0</v>
      </c>
      <c r="Q13" s="3" t="n"/>
    </row>
    <row r="14">
      <c r="M14" s="3" t="n"/>
      <c r="N14" s="7" t="inlineStr">
        <is>
          <t>Facturado</t>
        </is>
      </c>
      <c r="O14" s="8" t="n">
        <v>0</v>
      </c>
      <c r="Q14" s="3" t="n"/>
    </row>
    <row r="15">
      <c r="M15" s="3" t="n"/>
      <c r="N15" s="17" t="n"/>
      <c r="O15" s="14">
        <f>SUM(O13:O14)</f>
        <v/>
      </c>
      <c r="Q15" s="3" t="n"/>
    </row>
    <row r="16">
      <c r="M16" s="3" t="n"/>
      <c r="Q16" s="3" t="n"/>
    </row>
    <row r="17">
      <c r="M17" s="3" t="n"/>
      <c r="N17" s="18" t="inlineStr">
        <is>
          <t>KPI SFY</t>
        </is>
      </c>
      <c r="O17" s="14">
        <f>O7+O9</f>
        <v/>
      </c>
      <c r="Q17" s="3" t="n"/>
    </row>
    <row r="18">
      <c r="M18" s="3" t="n"/>
      <c r="N18" s="19">
        <f>NOW()</f>
        <v/>
      </c>
      <c r="Q18" s="3" t="n"/>
    </row>
    <row r="19">
      <c r="M19" s="3" t="n"/>
      <c r="Q19" s="3" t="n"/>
    </row>
    <row r="20">
      <c r="M20" s="3" t="n"/>
      <c r="Q20" s="3" t="n"/>
    </row>
    <row r="21">
      <c r="M21" s="3" t="n"/>
      <c r="Q21" s="3" t="n"/>
    </row>
    <row r="22">
      <c r="M22" s="3" t="n"/>
      <c r="Q22" s="3" t="n"/>
    </row>
    <row r="23">
      <c r="M23" s="3" t="n"/>
      <c r="Q23" s="3" t="n"/>
    </row>
    <row r="24">
      <c r="M24" s="3" t="n"/>
      <c r="Q24" s="3" t="n"/>
    </row>
    <row r="25">
      <c r="M25" s="3" t="n"/>
      <c r="Q25" s="3" t="n"/>
    </row>
    <row r="26">
      <c r="M26" s="3" t="n"/>
      <c r="Q26" s="3" t="n"/>
    </row>
    <row r="27">
      <c r="M27" s="3" t="n"/>
      <c r="Q27" s="3" t="n"/>
    </row>
    <row r="28">
      <c r="M28" s="3" t="n"/>
      <c r="Q28" s="3" t="n"/>
    </row>
    <row r="29">
      <c r="M29" s="3" t="n"/>
      <c r="Q29" s="3" t="n"/>
    </row>
    <row r="30">
      <c r="M30" s="3" t="n"/>
      <c r="Q30" s="3" t="n"/>
    </row>
    <row r="31">
      <c r="M31" s="3" t="n"/>
      <c r="Q31" s="3" t="n"/>
    </row>
    <row r="32">
      <c r="M32" s="3" t="n"/>
      <c r="Q32" s="3" t="n"/>
    </row>
    <row r="33">
      <c r="M33" s="3" t="n"/>
      <c r="Q33" s="3" t="n"/>
    </row>
    <row r="34">
      <c r="M34" s="3" t="n"/>
      <c r="Q34" s="3" t="n"/>
    </row>
    <row r="35">
      <c r="M35" s="3" t="n"/>
      <c r="Q35" s="3" t="n"/>
    </row>
    <row r="36">
      <c r="M36" s="3" t="n"/>
      <c r="Q36" s="3" t="n"/>
    </row>
    <row r="37">
      <c r="M37" s="3" t="n"/>
      <c r="Q37" s="3" t="n"/>
    </row>
    <row r="38">
      <c r="M38" s="3" t="n"/>
      <c r="Q38" s="3" t="n"/>
    </row>
    <row r="39">
      <c r="M39" s="3" t="n"/>
      <c r="Q39" s="3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21" customWidth="1" min="5" max="5"/>
    <col width="16" customWidth="1" min="6" max="6"/>
    <col width="16" customWidth="1" min="7" max="7"/>
    <col width="16" customWidth="1" min="8" max="8"/>
    <col width="16" customWidth="1" min="9" max="9"/>
    <col width="21" customWidth="1" min="10" max="10"/>
    <col width="21" customWidth="1" min="11" max="11"/>
    <col width="18" customWidth="1" min="12" max="12"/>
    <col width="16" customWidth="1" min="13" max="13"/>
    <col width="16" customWidth="1" min="14" max="14"/>
  </cols>
  <sheetData>
    <row r="1"/>
    <row r="2">
      <c r="A2" s="23" t="inlineStr">
        <is>
          <t>Gerencia</t>
        </is>
      </c>
      <c r="B2" s="23" t="inlineStr">
        <is>
          <t>Monto OC</t>
        </is>
      </c>
      <c r="C2" s="23" t="inlineStr">
        <is>
          <t>Cantidad</t>
        </is>
      </c>
      <c r="I2" s="23" t="inlineStr">
        <is>
          <t>Año</t>
        </is>
      </c>
      <c r="J2" s="23" t="inlineStr">
        <is>
          <t>Montos OC</t>
        </is>
      </c>
      <c r="K2" s="23" t="inlineStr">
        <is>
          <t>HH+Utilidad</t>
        </is>
      </c>
      <c r="L2" s="23" t="inlineStr">
        <is>
          <t>Objetivo Mínimo</t>
        </is>
      </c>
      <c r="M2" s="23" t="inlineStr">
        <is>
          <t>Cantidad</t>
        </is>
      </c>
    </row>
    <row r="3">
      <c r="A3" s="24" t="inlineStr">
        <is>
          <t>IND</t>
        </is>
      </c>
      <c r="B3" s="25">
        <f>IND!O8</f>
        <v/>
      </c>
      <c r="C3" s="24">
        <f>IND!P8</f>
        <v/>
      </c>
      <c r="I3" s="24" t="n">
        <v>2012</v>
      </c>
      <c r="J3" s="25" t="n">
        <v>856894.5600000001</v>
      </c>
      <c r="K3" s="25" t="n">
        <v>0</v>
      </c>
      <c r="L3" s="26" t="n"/>
      <c r="M3" s="24" t="n">
        <v>132</v>
      </c>
    </row>
    <row r="4">
      <c r="A4" s="27" t="inlineStr">
        <is>
          <t>MIN</t>
        </is>
      </c>
      <c r="B4" s="28">
        <f>MIN!O12</f>
        <v/>
      </c>
      <c r="C4" s="27">
        <f>MIN!P12</f>
        <v/>
      </c>
      <c r="I4" s="27" t="n">
        <v>2013</v>
      </c>
      <c r="J4" s="28" t="n">
        <v>1173006.51</v>
      </c>
      <c r="K4" s="28" t="n">
        <v>0</v>
      </c>
      <c r="L4" s="29" t="n"/>
      <c r="M4" s="27" t="n">
        <v>172</v>
      </c>
    </row>
    <row r="5">
      <c r="A5" s="24" t="inlineStr">
        <is>
          <t>OIL</t>
        </is>
      </c>
      <c r="B5" s="25">
        <f>OIL!O7</f>
        <v/>
      </c>
      <c r="C5" s="24">
        <f>OIL!P7</f>
        <v/>
      </c>
      <c r="I5" s="24" t="n">
        <v>2014</v>
      </c>
      <c r="J5" s="25" t="n">
        <v>1469563.62</v>
      </c>
      <c r="K5" s="25" t="n">
        <v>766989.8199999999</v>
      </c>
      <c r="L5" s="25" t="n">
        <v>599213.6899999999</v>
      </c>
      <c r="M5" s="24" t="n">
        <v>198</v>
      </c>
    </row>
    <row r="6">
      <c r="A6" s="27" t="inlineStr">
        <is>
          <t>SFY</t>
        </is>
      </c>
      <c r="B6" s="28">
        <f>SFY!O3</f>
        <v/>
      </c>
      <c r="C6" s="27">
        <f>SFY!P3</f>
        <v/>
      </c>
      <c r="I6" s="27" t="n">
        <v>2015</v>
      </c>
      <c r="J6" s="28" t="n">
        <v>1267166.696078888</v>
      </c>
      <c r="K6" s="28" t="n">
        <v>530501.6273807941</v>
      </c>
      <c r="L6" s="28" t="n">
        <v>791852.48</v>
      </c>
      <c r="M6" s="27" t="n">
        <v>231</v>
      </c>
    </row>
    <row r="7">
      <c r="A7" s="30" t="inlineStr">
        <is>
          <t>Total</t>
        </is>
      </c>
      <c r="B7" s="31">
        <f>SUM(B3:B6)</f>
        <v/>
      </c>
      <c r="C7" s="30">
        <f>SUM(C3:C6)</f>
        <v/>
      </c>
      <c r="I7" s="24" t="n">
        <v>2016</v>
      </c>
      <c r="J7" s="25" t="n">
        <v>1080847.054045476</v>
      </c>
      <c r="K7" s="25" t="n">
        <v>507030.8531663141</v>
      </c>
      <c r="L7" s="25" t="n">
        <v>791852.48</v>
      </c>
      <c r="M7" s="24" t="n">
        <v>134</v>
      </c>
    </row>
    <row r="8">
      <c r="I8" s="27" t="n">
        <v>2017</v>
      </c>
      <c r="J8" s="28" t="n">
        <v>1415889.736370502</v>
      </c>
      <c r="K8" s="28" t="n">
        <v>473934.3787961183</v>
      </c>
      <c r="L8" s="28" t="n">
        <v>786394.2</v>
      </c>
      <c r="M8" s="27" t="n">
        <v>158</v>
      </c>
    </row>
    <row r="9">
      <c r="I9" s="24" t="n">
        <v>2018</v>
      </c>
      <c r="J9" s="25" t="n">
        <v>1690561.031002075</v>
      </c>
      <c r="K9" s="25" t="n">
        <v>674026.1135589464</v>
      </c>
      <c r="L9" s="25" t="n">
        <v>1015424.41</v>
      </c>
      <c r="M9" s="24" t="n">
        <v>181</v>
      </c>
    </row>
    <row r="10">
      <c r="I10" s="27" t="n">
        <v>2019</v>
      </c>
      <c r="J10" s="28" t="n">
        <v>2113662.126147534</v>
      </c>
      <c r="K10" s="28" t="n">
        <v>590483.9506978638</v>
      </c>
      <c r="L10" s="28" t="n">
        <v>1016302.22</v>
      </c>
      <c r="M10" s="27" t="n">
        <v>176</v>
      </c>
    </row>
    <row r="11">
      <c r="I11" s="24" t="n">
        <v>2020</v>
      </c>
      <c r="J11" s="25" t="n">
        <v>1428707.628318969</v>
      </c>
      <c r="K11" s="25" t="n">
        <v>712348.3794442476</v>
      </c>
      <c r="L11" s="25" t="n">
        <v>869409.41</v>
      </c>
      <c r="M11" s="24" t="n">
        <v>101</v>
      </c>
    </row>
    <row r="12">
      <c r="I12" s="27" t="n">
        <v>2021</v>
      </c>
      <c r="J12" s="28" t="n">
        <v>1174629.053901313</v>
      </c>
      <c r="K12" s="28" t="n">
        <v>361921.252852613</v>
      </c>
      <c r="L12" s="28" t="n">
        <v>864817.23</v>
      </c>
      <c r="M12" s="27" t="n">
        <v>119</v>
      </c>
    </row>
    <row r="13">
      <c r="I13" s="24" t="n">
        <v>2022</v>
      </c>
      <c r="J13" s="25" t="n">
        <v>1568894.247265148</v>
      </c>
      <c r="K13" s="25" t="n">
        <v>573851.6109611184</v>
      </c>
      <c r="L13" s="25" t="n">
        <v>726996.85</v>
      </c>
      <c r="M13" s="24" t="n">
        <v>93</v>
      </c>
    </row>
    <row r="14">
      <c r="I14" s="27" t="n">
        <v>2023</v>
      </c>
      <c r="J14" s="28" t="n">
        <v>1601964.346871661</v>
      </c>
      <c r="K14" s="28" t="n">
        <v>855738.5866611192</v>
      </c>
      <c r="L14" s="28" t="n">
        <v>872396.23</v>
      </c>
      <c r="M14" s="27" t="n">
        <v>98</v>
      </c>
    </row>
    <row r="15">
      <c r="I15" s="24" t="n">
        <v>2024</v>
      </c>
      <c r="J15" s="25" t="n">
        <v>1502315.012059501</v>
      </c>
      <c r="K15" s="25" t="n">
        <v>827619.7865925868</v>
      </c>
      <c r="L15" s="25" t="n">
        <v>1046875.48</v>
      </c>
      <c r="M15" s="24" t="n">
        <v>110</v>
      </c>
    </row>
    <row r="16">
      <c r="I16" s="27" t="n">
        <v>2025</v>
      </c>
      <c r="J16" s="28" t="n">
        <v>1580195.603623653</v>
      </c>
      <c r="K16" s="28" t="n">
        <v>734535.7450207542</v>
      </c>
      <c r="L16" s="28" t="n">
        <v>1046875.48</v>
      </c>
      <c r="M16" s="27" t="n">
        <v>87</v>
      </c>
    </row>
    <row r="17">
      <c r="I17" s="30" t="n">
        <v>2026</v>
      </c>
      <c r="J17" s="31">
        <f>B7</f>
        <v/>
      </c>
      <c r="K17" s="31">
        <f>Objetivos!D7</f>
        <v/>
      </c>
      <c r="L17" s="31">
        <f>Objetivos!C7</f>
        <v/>
      </c>
      <c r="M17" s="30">
        <f>C7</f>
        <v/>
      </c>
    </row>
    <row r="18"/>
    <row r="19"/>
    <row r="20"/>
    <row r="21"/>
    <row r="22"/>
    <row r="23"/>
    <row r="24"/>
    <row r="25">
      <c r="A25" s="32" t="inlineStr">
        <is>
          <t>INDUSTRIA</t>
        </is>
      </c>
    </row>
    <row r="26">
      <c r="A26" s="23" t="inlineStr">
        <is>
          <t>Año</t>
        </is>
      </c>
      <c r="B26" s="23" t="inlineStr">
        <is>
          <t>ENE</t>
        </is>
      </c>
      <c r="C26" s="23" t="inlineStr">
        <is>
          <t>FEB</t>
        </is>
      </c>
      <c r="D26" s="23" t="inlineStr">
        <is>
          <t>MAR</t>
        </is>
      </c>
      <c r="E26" s="23" t="inlineStr">
        <is>
          <t>ABR</t>
        </is>
      </c>
      <c r="F26" s="23" t="inlineStr">
        <is>
          <t>MAY</t>
        </is>
      </c>
      <c r="G26" s="23" t="inlineStr">
        <is>
          <t>JUN</t>
        </is>
      </c>
      <c r="H26" s="23" t="inlineStr">
        <is>
          <t>JUL</t>
        </is>
      </c>
      <c r="I26" s="23" t="inlineStr">
        <is>
          <t>AGO</t>
        </is>
      </c>
      <c r="J26" s="23" t="inlineStr">
        <is>
          <t>SEP</t>
        </is>
      </c>
      <c r="K26" s="23" t="inlineStr">
        <is>
          <t>OCT</t>
        </is>
      </c>
      <c r="L26" s="23" t="inlineStr">
        <is>
          <t>NOV</t>
        </is>
      </c>
      <c r="M26" s="23" t="inlineStr">
        <is>
          <t>DIC</t>
        </is>
      </c>
      <c r="N26" s="23" t="inlineStr">
        <is>
          <t>Total</t>
        </is>
      </c>
    </row>
    <row r="27">
      <c r="A27" s="24" t="n">
        <v>2011</v>
      </c>
      <c r="B27" s="25" t="n">
        <v>0</v>
      </c>
      <c r="C27" s="25" t="n">
        <v>0</v>
      </c>
      <c r="D27" s="25" t="n">
        <v>8081.84</v>
      </c>
      <c r="E27" s="25" t="n">
        <v>1225.454545454545</v>
      </c>
      <c r="F27" s="25" t="n">
        <v>0</v>
      </c>
      <c r="G27" s="25" t="n">
        <v>1996</v>
      </c>
      <c r="H27" s="25" t="n">
        <v>840.55</v>
      </c>
      <c r="I27" s="25" t="n">
        <v>34797.82</v>
      </c>
      <c r="J27" s="25" t="n">
        <v>0</v>
      </c>
      <c r="K27" s="25" t="n">
        <v>111991.51</v>
      </c>
      <c r="L27" s="25" t="n">
        <v>6400</v>
      </c>
      <c r="M27" s="25" t="n">
        <v>9116.67</v>
      </c>
      <c r="N27" s="25">
        <f>SUM(B27:M27)</f>
        <v/>
      </c>
    </row>
    <row r="28">
      <c r="A28" s="27" t="n">
        <v>2012</v>
      </c>
      <c r="B28" s="28" t="n">
        <v>288.75</v>
      </c>
      <c r="C28" s="28" t="n">
        <v>16966.01</v>
      </c>
      <c r="D28" s="28" t="n">
        <v>11996.84</v>
      </c>
      <c r="E28" s="28" t="n">
        <v>10473.8</v>
      </c>
      <c r="F28" s="28" t="n">
        <v>23696.62</v>
      </c>
      <c r="G28" s="28" t="n">
        <v>17358.2</v>
      </c>
      <c r="H28" s="28" t="n">
        <v>11531.73</v>
      </c>
      <c r="I28" s="28" t="n">
        <v>11142.81</v>
      </c>
      <c r="J28" s="28" t="n">
        <v>3372.72</v>
      </c>
      <c r="K28" s="28" t="n">
        <v>370.5</v>
      </c>
      <c r="L28" s="28" t="n">
        <v>38269.66</v>
      </c>
      <c r="M28" s="28" t="n">
        <v>20800.84</v>
      </c>
      <c r="N28" s="28">
        <f>SUM(B28:M28)</f>
        <v/>
      </c>
    </row>
    <row r="29">
      <c r="A29" s="24" t="n">
        <v>2013</v>
      </c>
      <c r="B29" s="25" t="n">
        <v>14551.34</v>
      </c>
      <c r="C29" s="25" t="n">
        <v>19427.05</v>
      </c>
      <c r="D29" s="25" t="n">
        <v>2262</v>
      </c>
      <c r="E29" s="25" t="n">
        <v>39092.38</v>
      </c>
      <c r="F29" s="25" t="n">
        <v>31540.28</v>
      </c>
      <c r="G29" s="25" t="n">
        <v>19834.15</v>
      </c>
      <c r="H29" s="25" t="n">
        <v>3903.08</v>
      </c>
      <c r="I29" s="25" t="n">
        <v>49596.05</v>
      </c>
      <c r="J29" s="25" t="n">
        <v>11850.33</v>
      </c>
      <c r="K29" s="25" t="n">
        <v>28657.57</v>
      </c>
      <c r="L29" s="25" t="n">
        <v>34503.31</v>
      </c>
      <c r="M29" s="25" t="n">
        <v>0</v>
      </c>
      <c r="N29" s="25">
        <f>SUM(B29:M29)</f>
        <v/>
      </c>
    </row>
    <row r="30">
      <c r="A30" s="27" t="n">
        <v>2014</v>
      </c>
      <c r="B30" s="28" t="n">
        <v>35533.57</v>
      </c>
      <c r="C30" s="28" t="n">
        <v>3500</v>
      </c>
      <c r="D30" s="28" t="n">
        <v>13796</v>
      </c>
      <c r="E30" s="28" t="n">
        <v>6360</v>
      </c>
      <c r="F30" s="28" t="n">
        <v>34670</v>
      </c>
      <c r="G30" s="28" t="n">
        <v>20700</v>
      </c>
      <c r="H30" s="28" t="n">
        <v>27649.9</v>
      </c>
      <c r="I30" s="28" t="n">
        <v>12924.2</v>
      </c>
      <c r="J30" s="28" t="n">
        <v>71445.25999999999</v>
      </c>
      <c r="K30" s="28" t="n">
        <v>125296.03</v>
      </c>
      <c r="L30" s="28" t="n">
        <v>19935.01</v>
      </c>
      <c r="M30" s="28" t="n">
        <v>19950</v>
      </c>
      <c r="N30" s="28">
        <f>SUM(B30:M30)</f>
        <v/>
      </c>
    </row>
    <row r="31">
      <c r="A31" s="24" t="n">
        <v>2015</v>
      </c>
      <c r="B31" s="25" t="n">
        <v>0</v>
      </c>
      <c r="C31" s="25" t="n">
        <v>0</v>
      </c>
      <c r="D31" s="25" t="n">
        <v>48338.97</v>
      </c>
      <c r="E31" s="25" t="n">
        <v>1619.9</v>
      </c>
      <c r="F31" s="25" t="n">
        <v>400</v>
      </c>
      <c r="G31" s="25" t="n">
        <v>54648.3</v>
      </c>
      <c r="H31" s="25" t="n">
        <v>11186.8</v>
      </c>
      <c r="I31" s="25" t="n">
        <v>32656.2</v>
      </c>
      <c r="J31" s="25" t="n">
        <v>40006.21</v>
      </c>
      <c r="K31" s="25" t="n">
        <v>7070.13</v>
      </c>
      <c r="L31" s="25" t="n">
        <v>12900</v>
      </c>
      <c r="M31" s="25" t="n">
        <v>59189</v>
      </c>
      <c r="N31" s="25">
        <f>SUM(B31:M31)</f>
        <v/>
      </c>
    </row>
    <row r="32">
      <c r="A32" s="27" t="n">
        <v>2016</v>
      </c>
      <c r="B32" s="28" t="n">
        <v>64626.94</v>
      </c>
      <c r="C32" s="28" t="n">
        <v>91133.37</v>
      </c>
      <c r="D32" s="28" t="n">
        <v>28155.6</v>
      </c>
      <c r="E32" s="28" t="n">
        <v>1222.5</v>
      </c>
      <c r="F32" s="28" t="n">
        <v>600</v>
      </c>
      <c r="G32" s="28" t="n">
        <v>3688.4</v>
      </c>
      <c r="H32" s="28" t="n">
        <v>25934.95</v>
      </c>
      <c r="I32" s="28" t="n">
        <v>15845.01</v>
      </c>
      <c r="J32" s="28" t="n">
        <v>4185.51</v>
      </c>
      <c r="K32" s="28" t="n">
        <v>12128.1</v>
      </c>
      <c r="L32" s="28" t="n">
        <v>3807.88</v>
      </c>
      <c r="M32" s="28" t="n">
        <v>4900</v>
      </c>
      <c r="N32" s="28">
        <f>SUM(B32:M32)</f>
        <v/>
      </c>
    </row>
    <row r="33">
      <c r="A33" s="24" t="n">
        <v>2017</v>
      </c>
      <c r="B33" s="25" t="n">
        <v>19607.87</v>
      </c>
      <c r="C33" s="25" t="n">
        <v>133750.17</v>
      </c>
      <c r="D33" s="25" t="n">
        <v>23056.54</v>
      </c>
      <c r="E33" s="25" t="n">
        <v>1982</v>
      </c>
      <c r="F33" s="25" t="n">
        <v>41474</v>
      </c>
      <c r="G33" s="25" t="n">
        <v>5405.5</v>
      </c>
      <c r="H33" s="25" t="n">
        <v>144797.51</v>
      </c>
      <c r="I33" s="25" t="n">
        <v>147549.01</v>
      </c>
      <c r="J33" s="25" t="n">
        <v>8547.440000000001</v>
      </c>
      <c r="K33" s="25" t="n">
        <v>2414.93</v>
      </c>
      <c r="L33" s="25" t="n">
        <v>65256.13</v>
      </c>
      <c r="M33" s="25" t="n">
        <v>49307.3</v>
      </c>
      <c r="N33" s="25">
        <f>SUM(B33:M33)</f>
        <v/>
      </c>
    </row>
    <row r="34">
      <c r="A34" s="27" t="n">
        <v>2018</v>
      </c>
      <c r="B34" s="28" t="n">
        <v>47082.85</v>
      </c>
      <c r="C34" s="28" t="n">
        <v>26269.61</v>
      </c>
      <c r="D34" s="28" t="n">
        <v>65385.66</v>
      </c>
      <c r="E34" s="28" t="n">
        <v>22090.56</v>
      </c>
      <c r="F34" s="28" t="n">
        <v>142594.25</v>
      </c>
      <c r="G34" s="28" t="n">
        <v>4320</v>
      </c>
      <c r="H34" s="28" t="n">
        <v>2814.7</v>
      </c>
      <c r="I34" s="28" t="n">
        <v>17059.71</v>
      </c>
      <c r="J34" s="28" t="n">
        <v>18378</v>
      </c>
      <c r="K34" s="28" t="n">
        <v>10400</v>
      </c>
      <c r="L34" s="28" t="n">
        <v>88735.86</v>
      </c>
      <c r="M34" s="28" t="n">
        <v>6045.56</v>
      </c>
      <c r="N34" s="28">
        <f>SUM(B34:M34)</f>
        <v/>
      </c>
    </row>
    <row r="35">
      <c r="A35" s="24" t="n">
        <v>2019</v>
      </c>
      <c r="B35" s="25" t="n">
        <v>11400.28</v>
      </c>
      <c r="C35" s="25" t="n">
        <v>9990</v>
      </c>
      <c r="D35" s="25" t="n">
        <v>0</v>
      </c>
      <c r="E35" s="25" t="n">
        <v>2682.46</v>
      </c>
      <c r="F35" s="25" t="n">
        <v>95953.7</v>
      </c>
      <c r="G35" s="25" t="n">
        <v>22179.66</v>
      </c>
      <c r="H35" s="25" t="n">
        <v>0</v>
      </c>
      <c r="I35" s="25" t="n">
        <v>9915.6</v>
      </c>
      <c r="J35" s="25" t="n">
        <v>800</v>
      </c>
      <c r="K35" s="25" t="n">
        <v>850</v>
      </c>
      <c r="L35" s="25" t="n">
        <v>11258.1</v>
      </c>
      <c r="M35" s="25" t="n">
        <v>0</v>
      </c>
      <c r="N35" s="25">
        <f>SUM(B35:M35)</f>
        <v/>
      </c>
    </row>
    <row r="36">
      <c r="A36" s="27" t="n">
        <v>2020</v>
      </c>
      <c r="B36" s="28" t="n">
        <v>11188.55</v>
      </c>
      <c r="C36" s="28" t="n">
        <v>33333.2</v>
      </c>
      <c r="D36" s="28" t="n">
        <v>0</v>
      </c>
      <c r="E36" s="28" t="n">
        <v>0</v>
      </c>
      <c r="F36" s="28" t="n">
        <v>0</v>
      </c>
      <c r="G36" s="28" t="n">
        <v>0</v>
      </c>
      <c r="H36" s="28" t="n">
        <v>16924.46</v>
      </c>
      <c r="I36" s="28" t="n">
        <v>110</v>
      </c>
      <c r="J36" s="28" t="n">
        <v>1354.46</v>
      </c>
      <c r="K36" s="28" t="n">
        <v>1452.34</v>
      </c>
      <c r="L36" s="28" t="n">
        <v>3544.38</v>
      </c>
      <c r="M36" s="28" t="n">
        <v>7272</v>
      </c>
      <c r="N36" s="28">
        <f>SUM(B36:M36)</f>
        <v/>
      </c>
    </row>
    <row r="37">
      <c r="A37" s="24" t="n">
        <v>2021</v>
      </c>
      <c r="B37" s="25" t="n">
        <v>8601.17</v>
      </c>
      <c r="C37" s="25" t="n">
        <v>0</v>
      </c>
      <c r="D37" s="25" t="n">
        <v>1104.57</v>
      </c>
      <c r="E37" s="25" t="n">
        <v>4337.71</v>
      </c>
      <c r="F37" s="25" t="n">
        <v>0</v>
      </c>
      <c r="G37" s="25" t="n">
        <v>0</v>
      </c>
      <c r="H37" s="25" t="n">
        <v>155</v>
      </c>
      <c r="I37" s="25" t="n">
        <v>202961.72</v>
      </c>
      <c r="J37" s="25" t="n">
        <v>127.78</v>
      </c>
      <c r="K37" s="25" t="n">
        <v>7402.35</v>
      </c>
      <c r="L37" s="25" t="n">
        <v>2438</v>
      </c>
      <c r="M37" s="25" t="n">
        <v>1206</v>
      </c>
      <c r="N37" s="25">
        <f>SUM(B37:M37)</f>
        <v/>
      </c>
    </row>
    <row r="38">
      <c r="A38" s="27" t="n">
        <v>2022</v>
      </c>
      <c r="B38" s="28" t="n">
        <v>0</v>
      </c>
      <c r="C38" s="28" t="n">
        <v>1801.85</v>
      </c>
      <c r="D38" s="28" t="n">
        <v>6522.74</v>
      </c>
      <c r="E38" s="28" t="n">
        <v>11039.54</v>
      </c>
      <c r="F38" s="28" t="n">
        <v>471.6</v>
      </c>
      <c r="G38" s="28" t="n">
        <v>14709</v>
      </c>
      <c r="H38" s="28" t="n">
        <v>0</v>
      </c>
      <c r="I38" s="28" t="n">
        <v>9710</v>
      </c>
      <c r="J38" s="28" t="n">
        <v>100</v>
      </c>
      <c r="K38" s="28" t="n">
        <v>17001.24</v>
      </c>
      <c r="L38" s="28" t="n">
        <v>1130</v>
      </c>
      <c r="M38" s="28" t="n">
        <v>0</v>
      </c>
      <c r="N38" s="28">
        <f>SUM(B38:M38)</f>
        <v/>
      </c>
    </row>
    <row r="39">
      <c r="A39" s="24" t="n">
        <v>2023</v>
      </c>
      <c r="B39" s="25" t="n">
        <v>0</v>
      </c>
      <c r="C39" s="25" t="n">
        <v>61177.52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4038.44</v>
      </c>
      <c r="J39" s="25" t="n">
        <v>0</v>
      </c>
      <c r="K39" s="25" t="n">
        <v>12265</v>
      </c>
      <c r="L39" s="25" t="n">
        <v>6952.98</v>
      </c>
      <c r="M39" s="25" t="n">
        <v>1276.4</v>
      </c>
      <c r="N39" s="25">
        <f>SUM(B39:M39)</f>
        <v/>
      </c>
    </row>
    <row r="40">
      <c r="A40" s="27" t="n">
        <v>2024</v>
      </c>
      <c r="B40" s="28" t="n">
        <v>4488.68</v>
      </c>
      <c r="C40" s="28" t="n">
        <v>71868.06</v>
      </c>
      <c r="D40" s="28" t="n">
        <v>18225.89</v>
      </c>
      <c r="E40" s="28" t="n">
        <v>15772.49</v>
      </c>
      <c r="F40" s="28" t="n">
        <v>2420</v>
      </c>
      <c r="G40" s="28" t="n">
        <v>9325</v>
      </c>
      <c r="H40" s="28" t="n">
        <v>80</v>
      </c>
      <c r="I40" s="28" t="n">
        <v>0</v>
      </c>
      <c r="J40" s="28" t="n">
        <v>7716.63</v>
      </c>
      <c r="K40" s="28" t="n">
        <v>62061.34</v>
      </c>
      <c r="L40" s="28" t="n">
        <v>27973.71</v>
      </c>
      <c r="M40" s="28" t="n">
        <v>50418.03</v>
      </c>
      <c r="N40" s="28">
        <f>SUM(B40:M40)</f>
        <v/>
      </c>
    </row>
    <row r="41">
      <c r="A41" s="24" t="n">
        <v>2025</v>
      </c>
      <c r="B41" s="25" t="n">
        <v>4932</v>
      </c>
      <c r="C41" s="25" t="n">
        <v>16355</v>
      </c>
      <c r="D41" s="25" t="n">
        <v>21167.93</v>
      </c>
      <c r="E41" s="25" t="n">
        <v>2998.9</v>
      </c>
      <c r="F41" s="25" t="n">
        <v>3408</v>
      </c>
      <c r="G41" s="25" t="n">
        <v>12106.81</v>
      </c>
      <c r="H41" s="25" t="n">
        <v>3745</v>
      </c>
      <c r="I41" s="25" t="n">
        <v>10726.67</v>
      </c>
      <c r="J41" s="25" t="n">
        <v>13640.04</v>
      </c>
      <c r="K41" s="25" t="n">
        <v>9276.190000000001</v>
      </c>
      <c r="L41" s="25" t="n">
        <v>4000.64</v>
      </c>
      <c r="M41" s="25" t="n">
        <v>22158.71</v>
      </c>
      <c r="N41" s="25">
        <f>SUM(B41:M41)</f>
        <v/>
      </c>
    </row>
    <row r="42">
      <c r="A42" s="30" t="n">
        <v>2026</v>
      </c>
      <c r="B42" s="31" t="n">
        <v>2563.14</v>
      </c>
      <c r="C42" s="31" t="n">
        <v>23056.05</v>
      </c>
      <c r="D42" s="31" t="n">
        <v>2180</v>
      </c>
      <c r="E42" s="31" t="n">
        <v>10000</v>
      </c>
      <c r="F42" s="31" t="n">
        <v>0</v>
      </c>
      <c r="G42" s="31" t="n">
        <v>880</v>
      </c>
      <c r="H42" s="31" t="n">
        <v>16251</v>
      </c>
      <c r="I42" s="31" t="n">
        <v>0</v>
      </c>
      <c r="J42" s="31" t="n">
        <v>0</v>
      </c>
      <c r="K42" s="31" t="n">
        <v>0</v>
      </c>
      <c r="L42" s="31" t="n">
        <v>0</v>
      </c>
      <c r="M42" s="31" t="n">
        <v>3300</v>
      </c>
      <c r="N42" s="31">
        <f>SUM(B42:M42)</f>
        <v/>
      </c>
    </row>
    <row r="43"/>
    <row r="44"/>
    <row r="45"/>
    <row r="46"/>
    <row r="47"/>
    <row r="48"/>
    <row r="49"/>
    <row r="50"/>
    <row r="51"/>
    <row r="52"/>
    <row r="53"/>
    <row r="54"/>
    <row r="55">
      <c r="A55" s="32" t="inlineStr">
        <is>
          <t>MINERIA</t>
        </is>
      </c>
    </row>
    <row r="56">
      <c r="A56" s="23" t="inlineStr">
        <is>
          <t>Año</t>
        </is>
      </c>
      <c r="B56" s="23" t="inlineStr">
        <is>
          <t>ENE</t>
        </is>
      </c>
      <c r="C56" s="23" t="inlineStr">
        <is>
          <t>FEB</t>
        </is>
      </c>
      <c r="D56" s="23" t="inlineStr">
        <is>
          <t>MAR</t>
        </is>
      </c>
      <c r="E56" s="23" t="inlineStr">
        <is>
          <t>ABR</t>
        </is>
      </c>
      <c r="F56" s="23" t="inlineStr">
        <is>
          <t>MAY</t>
        </is>
      </c>
      <c r="G56" s="23" t="inlineStr">
        <is>
          <t>JUN</t>
        </is>
      </c>
      <c r="H56" s="23" t="inlineStr">
        <is>
          <t>JUL</t>
        </is>
      </c>
      <c r="I56" s="23" t="inlineStr">
        <is>
          <t>AGO</t>
        </is>
      </c>
      <c r="J56" s="23" t="inlineStr">
        <is>
          <t>SEP</t>
        </is>
      </c>
      <c r="K56" s="23" t="inlineStr">
        <is>
          <t>OCT</t>
        </is>
      </c>
      <c r="L56" s="23" t="inlineStr">
        <is>
          <t>NOV</t>
        </is>
      </c>
      <c r="M56" s="23" t="inlineStr">
        <is>
          <t>DIC</t>
        </is>
      </c>
      <c r="N56" s="23" t="inlineStr">
        <is>
          <t>Total</t>
        </is>
      </c>
    </row>
    <row r="57">
      <c r="A57" s="24" t="n">
        <v>2011</v>
      </c>
      <c r="B57" s="25" t="n">
        <v>0</v>
      </c>
      <c r="C57" s="25" t="n">
        <v>0</v>
      </c>
      <c r="D57" s="25" t="n">
        <v>143668.9</v>
      </c>
      <c r="E57" s="25" t="n">
        <v>46280.65</v>
      </c>
      <c r="F57" s="25" t="n">
        <v>11504.24</v>
      </c>
      <c r="G57" s="25" t="n">
        <v>93709.46000000001</v>
      </c>
      <c r="H57" s="25" t="n">
        <v>0</v>
      </c>
      <c r="I57" s="25" t="n">
        <v>41411.92</v>
      </c>
      <c r="J57" s="25" t="n">
        <v>22074.98</v>
      </c>
      <c r="K57" s="25" t="n">
        <v>51330.95</v>
      </c>
      <c r="L57" s="25" t="n">
        <v>10405</v>
      </c>
      <c r="M57" s="25" t="n">
        <v>78179.60000000001</v>
      </c>
      <c r="N57" s="25">
        <f>SUM(B57:M57)</f>
        <v/>
      </c>
    </row>
    <row r="58">
      <c r="A58" s="27" t="n">
        <v>2012</v>
      </c>
      <c r="B58" s="28" t="n">
        <v>6016.7</v>
      </c>
      <c r="C58" s="28" t="n">
        <v>0</v>
      </c>
      <c r="D58" s="28" t="n">
        <v>272173.48</v>
      </c>
      <c r="E58" s="28" t="n">
        <v>9853.120000000001</v>
      </c>
      <c r="F58" s="28" t="n">
        <v>13313.7</v>
      </c>
      <c r="G58" s="28" t="n">
        <v>8315.85</v>
      </c>
      <c r="H58" s="28" t="n">
        <v>9464.65</v>
      </c>
      <c r="I58" s="28" t="n">
        <v>2110.4</v>
      </c>
      <c r="J58" s="28" t="n">
        <v>2368</v>
      </c>
      <c r="K58" s="28" t="n">
        <v>0</v>
      </c>
      <c r="L58" s="28" t="n">
        <v>9172.15</v>
      </c>
      <c r="M58" s="28" t="n">
        <v>12995.65</v>
      </c>
      <c r="N58" s="28">
        <f>SUM(B58:M58)</f>
        <v/>
      </c>
    </row>
    <row r="59">
      <c r="A59" s="24" t="n">
        <v>2013</v>
      </c>
      <c r="B59" s="25" t="n">
        <v>9000</v>
      </c>
      <c r="C59" s="25" t="n">
        <v>6885</v>
      </c>
      <c r="D59" s="25" t="n">
        <v>222917.66</v>
      </c>
      <c r="E59" s="25" t="n">
        <v>59817.55</v>
      </c>
      <c r="F59" s="25" t="n">
        <v>394.4</v>
      </c>
      <c r="G59" s="25" t="n">
        <v>24251.24</v>
      </c>
      <c r="H59" s="25" t="n">
        <v>3454.21</v>
      </c>
      <c r="I59" s="25" t="n">
        <v>39736.85</v>
      </c>
      <c r="J59" s="25" t="n">
        <v>245081.41</v>
      </c>
      <c r="K59" s="25" t="n">
        <v>6332.89</v>
      </c>
      <c r="L59" s="25" t="n">
        <v>15281.25</v>
      </c>
      <c r="M59" s="25" t="n">
        <v>19860</v>
      </c>
      <c r="N59" s="25">
        <f>SUM(B59:M59)</f>
        <v/>
      </c>
    </row>
    <row r="60">
      <c r="A60" s="27" t="n">
        <v>2014</v>
      </c>
      <c r="B60" s="28" t="n">
        <v>38211.7</v>
      </c>
      <c r="C60" s="28" t="n">
        <v>9714.389999999999</v>
      </c>
      <c r="D60" s="28" t="n">
        <v>74793.07000000001</v>
      </c>
      <c r="E60" s="28" t="n">
        <v>270158.08</v>
      </c>
      <c r="F60" s="28" t="n">
        <v>92782.46000000001</v>
      </c>
      <c r="G60" s="28" t="n">
        <v>9014.08</v>
      </c>
      <c r="H60" s="28" t="n">
        <v>26650.57</v>
      </c>
      <c r="I60" s="28" t="n">
        <v>12078.26</v>
      </c>
      <c r="J60" s="28" t="n">
        <v>123460.35</v>
      </c>
      <c r="K60" s="28" t="n">
        <v>138294.33</v>
      </c>
      <c r="L60" s="28" t="n">
        <v>24996.16</v>
      </c>
      <c r="M60" s="28" t="n">
        <v>24381.47</v>
      </c>
      <c r="N60" s="28">
        <f>SUM(B60:M60)</f>
        <v/>
      </c>
    </row>
    <row r="61">
      <c r="A61" s="24" t="n">
        <v>2015</v>
      </c>
      <c r="B61" s="25" t="n">
        <v>430.2</v>
      </c>
      <c r="C61" s="25" t="n">
        <v>13222.02</v>
      </c>
      <c r="D61" s="25" t="n">
        <v>118619.54</v>
      </c>
      <c r="E61" s="25" t="n">
        <v>53498.21</v>
      </c>
      <c r="F61" s="25" t="n">
        <v>251484.85</v>
      </c>
      <c r="G61" s="25" t="n">
        <v>108690.8</v>
      </c>
      <c r="H61" s="25" t="n">
        <v>82851.87</v>
      </c>
      <c r="I61" s="25" t="n">
        <v>221857.22</v>
      </c>
      <c r="J61" s="25" t="n">
        <v>13438.53</v>
      </c>
      <c r="K61" s="25" t="n">
        <v>165667.24</v>
      </c>
      <c r="L61" s="25" t="n">
        <v>58231.71</v>
      </c>
      <c r="M61" s="25" t="n">
        <v>7455.68</v>
      </c>
      <c r="N61" s="25">
        <f>SUM(B61:M61)</f>
        <v/>
      </c>
    </row>
    <row r="62">
      <c r="A62" s="27" t="n">
        <v>2016</v>
      </c>
      <c r="B62" s="28" t="n">
        <v>72022.03999999999</v>
      </c>
      <c r="C62" s="28" t="n">
        <v>1333.87</v>
      </c>
      <c r="D62" s="28" t="n">
        <v>173190.1</v>
      </c>
      <c r="E62" s="28" t="n">
        <v>0</v>
      </c>
      <c r="F62" s="28" t="n">
        <v>5926.71</v>
      </c>
      <c r="G62" s="28" t="n">
        <v>0</v>
      </c>
      <c r="H62" s="28" t="n">
        <v>34536.83</v>
      </c>
      <c r="I62" s="28" t="n">
        <v>129249.84</v>
      </c>
      <c r="J62" s="28" t="n">
        <v>230.94</v>
      </c>
      <c r="K62" s="28" t="n">
        <v>146213.87</v>
      </c>
      <c r="L62" s="28" t="n">
        <v>71232.60000000001</v>
      </c>
      <c r="M62" s="28" t="n">
        <v>20314.5</v>
      </c>
      <c r="N62" s="28">
        <f>SUM(B62:M62)</f>
        <v/>
      </c>
    </row>
    <row r="63">
      <c r="A63" s="24" t="n">
        <v>2017</v>
      </c>
      <c r="B63" s="25" t="n">
        <v>230561.94</v>
      </c>
      <c r="C63" s="25" t="n">
        <v>4217.06</v>
      </c>
      <c r="D63" s="25" t="n">
        <v>24524.97</v>
      </c>
      <c r="E63" s="25" t="n">
        <v>31573.59</v>
      </c>
      <c r="F63" s="25" t="n">
        <v>63558.07</v>
      </c>
      <c r="G63" s="25" t="n">
        <v>14802.02</v>
      </c>
      <c r="H63" s="25" t="n">
        <v>67282.87</v>
      </c>
      <c r="I63" s="25" t="n">
        <v>64937.37</v>
      </c>
      <c r="J63" s="25" t="n">
        <v>17097.45</v>
      </c>
      <c r="K63" s="25" t="n">
        <v>41572.12</v>
      </c>
      <c r="L63" s="25" t="n">
        <v>129161.75</v>
      </c>
      <c r="M63" s="25" t="n">
        <v>111130.58</v>
      </c>
      <c r="N63" s="25">
        <f>SUM(B63:M63)</f>
        <v/>
      </c>
    </row>
    <row r="64">
      <c r="A64" s="27" t="n">
        <v>2018</v>
      </c>
      <c r="B64" s="28" t="n">
        <v>28222.77</v>
      </c>
      <c r="C64" s="28" t="n">
        <v>68462.57000000001</v>
      </c>
      <c r="D64" s="28" t="n">
        <v>55921.68</v>
      </c>
      <c r="E64" s="28" t="n">
        <v>125454.25</v>
      </c>
      <c r="F64" s="28" t="n">
        <v>86062.92999999999</v>
      </c>
      <c r="G64" s="28" t="n">
        <v>81885.78999999999</v>
      </c>
      <c r="H64" s="28" t="n">
        <v>290620.09</v>
      </c>
      <c r="I64" s="28" t="n">
        <v>139982.07</v>
      </c>
      <c r="J64" s="28" t="n">
        <v>126649.9</v>
      </c>
      <c r="K64" s="28" t="n">
        <v>59949.58</v>
      </c>
      <c r="L64" s="28" t="n">
        <v>24445.19</v>
      </c>
      <c r="M64" s="28" t="n">
        <v>17655.43</v>
      </c>
      <c r="N64" s="28">
        <f>SUM(B64:M64)</f>
        <v/>
      </c>
    </row>
    <row r="65">
      <c r="A65" s="24" t="n">
        <v>2019</v>
      </c>
      <c r="B65" s="25" t="n">
        <v>28830.67</v>
      </c>
      <c r="C65" s="25" t="n">
        <v>31165.4</v>
      </c>
      <c r="D65" s="25" t="n">
        <v>43051.52</v>
      </c>
      <c r="E65" s="25" t="n">
        <v>10640.52</v>
      </c>
      <c r="F65" s="25" t="n">
        <v>72350.55</v>
      </c>
      <c r="G65" s="25" t="n">
        <v>58946.99</v>
      </c>
      <c r="H65" s="25" t="n">
        <v>95984.19</v>
      </c>
      <c r="I65" s="25" t="n">
        <v>60261.61</v>
      </c>
      <c r="J65" s="25" t="n">
        <v>432907.71</v>
      </c>
      <c r="K65" s="25" t="n">
        <v>46018.01</v>
      </c>
      <c r="L65" s="25" t="n">
        <v>131238.43</v>
      </c>
      <c r="M65" s="25" t="n">
        <v>5262.43</v>
      </c>
      <c r="N65" s="25">
        <f>SUM(B65:M65)</f>
        <v/>
      </c>
    </row>
    <row r="66">
      <c r="A66" s="27" t="n">
        <v>2020</v>
      </c>
      <c r="B66" s="28" t="n">
        <v>439460.93</v>
      </c>
      <c r="C66" s="28" t="n">
        <v>57261.04</v>
      </c>
      <c r="D66" s="28" t="n">
        <v>7545.35</v>
      </c>
      <c r="E66" s="28" t="n">
        <v>112345.66</v>
      </c>
      <c r="F66" s="28" t="n">
        <v>37383.5</v>
      </c>
      <c r="G66" s="28" t="n">
        <v>19084.36</v>
      </c>
      <c r="H66" s="28" t="n">
        <v>22998.97</v>
      </c>
      <c r="I66" s="28" t="n">
        <v>122.72</v>
      </c>
      <c r="J66" s="28" t="n">
        <v>733.5</v>
      </c>
      <c r="K66" s="28" t="n">
        <v>9508.700000000001</v>
      </c>
      <c r="L66" s="28" t="n">
        <v>188367.77</v>
      </c>
      <c r="M66" s="28" t="n">
        <v>70557.16</v>
      </c>
      <c r="N66" s="28">
        <f>SUM(B66:M66)</f>
        <v/>
      </c>
    </row>
    <row r="67">
      <c r="A67" s="24" t="n">
        <v>2021</v>
      </c>
      <c r="B67" s="25" t="n">
        <v>33426.4</v>
      </c>
      <c r="C67" s="25" t="n">
        <v>126852.66</v>
      </c>
      <c r="D67" s="25" t="n">
        <v>119359.45</v>
      </c>
      <c r="E67" s="25" t="n">
        <v>28573.05</v>
      </c>
      <c r="F67" s="25" t="n">
        <v>41221.29</v>
      </c>
      <c r="G67" s="25" t="n">
        <v>55937.77</v>
      </c>
      <c r="H67" s="25" t="n">
        <v>12681.07</v>
      </c>
      <c r="I67" s="25" t="n">
        <v>85620.99000000001</v>
      </c>
      <c r="J67" s="25" t="n">
        <v>157701.64</v>
      </c>
      <c r="K67" s="25" t="n">
        <v>37500.79</v>
      </c>
      <c r="L67" s="25" t="n">
        <v>46712.11</v>
      </c>
      <c r="M67" s="25" t="n">
        <v>101235.12</v>
      </c>
      <c r="N67" s="25">
        <f>SUM(B67:M67)</f>
        <v/>
      </c>
    </row>
    <row r="68">
      <c r="A68" s="27" t="n">
        <v>2022</v>
      </c>
      <c r="B68" s="28" t="n">
        <v>5637.6</v>
      </c>
      <c r="C68" s="28" t="n">
        <v>300035.43</v>
      </c>
      <c r="D68" s="28" t="n">
        <v>692168.37</v>
      </c>
      <c r="E68" s="28" t="n">
        <v>26663.31</v>
      </c>
      <c r="F68" s="28" t="n">
        <v>90523.25999999999</v>
      </c>
      <c r="G68" s="28" t="n">
        <v>68740.8</v>
      </c>
      <c r="H68" s="28" t="n">
        <v>85904.05</v>
      </c>
      <c r="I68" s="28" t="n">
        <v>52986.28</v>
      </c>
      <c r="J68" s="28" t="n">
        <v>31612.14</v>
      </c>
      <c r="K68" s="28" t="n">
        <v>0</v>
      </c>
      <c r="L68" s="28" t="n">
        <v>29513.55</v>
      </c>
      <c r="M68" s="28" t="n">
        <v>2023.44</v>
      </c>
      <c r="N68" s="28">
        <f>SUM(B68:M68)</f>
        <v/>
      </c>
    </row>
    <row r="69">
      <c r="A69" s="24" t="n">
        <v>2023</v>
      </c>
      <c r="B69" s="25" t="n">
        <v>42009.17</v>
      </c>
      <c r="C69" s="25" t="n">
        <v>73170.27</v>
      </c>
      <c r="D69" s="25" t="n">
        <v>94.5</v>
      </c>
      <c r="E69" s="25" t="n">
        <v>38501</v>
      </c>
      <c r="F69" s="25" t="n">
        <v>19593</v>
      </c>
      <c r="G69" s="25" t="n">
        <v>77890.02</v>
      </c>
      <c r="H69" s="25" t="n">
        <v>90322.95</v>
      </c>
      <c r="I69" s="25" t="n">
        <v>30854.25</v>
      </c>
      <c r="J69" s="25" t="n">
        <v>94174.59</v>
      </c>
      <c r="K69" s="25" t="n">
        <v>79362.92999999999</v>
      </c>
      <c r="L69" s="25" t="n">
        <v>278050.35</v>
      </c>
      <c r="M69" s="25" t="n">
        <v>511165.57</v>
      </c>
      <c r="N69" s="25">
        <f>SUM(B69:M69)</f>
        <v/>
      </c>
    </row>
    <row r="70">
      <c r="A70" s="27" t="n">
        <v>2024</v>
      </c>
      <c r="B70" s="28" t="n">
        <v>26743.05</v>
      </c>
      <c r="C70" s="28" t="n">
        <v>100956.79</v>
      </c>
      <c r="D70" s="28" t="n">
        <v>95643.25999999999</v>
      </c>
      <c r="E70" s="28" t="n">
        <v>8195.700000000001</v>
      </c>
      <c r="F70" s="28" t="n">
        <v>50765.34</v>
      </c>
      <c r="G70" s="28" t="n">
        <v>152462.38</v>
      </c>
      <c r="H70" s="28" t="n">
        <v>12484.64</v>
      </c>
      <c r="I70" s="28" t="n">
        <v>7980.69</v>
      </c>
      <c r="J70" s="28" t="n">
        <v>36620.62</v>
      </c>
      <c r="K70" s="28" t="n">
        <v>64938.9</v>
      </c>
      <c r="L70" s="28" t="n">
        <v>64043.24</v>
      </c>
      <c r="M70" s="28" t="n">
        <v>540456.86</v>
      </c>
      <c r="N70" s="28">
        <f>SUM(B70:M70)</f>
        <v/>
      </c>
    </row>
    <row r="71">
      <c r="A71" s="24" t="n">
        <v>2025</v>
      </c>
      <c r="B71" s="25" t="n">
        <v>399037.61</v>
      </c>
      <c r="C71" s="25" t="n">
        <v>1526.86</v>
      </c>
      <c r="D71" s="25" t="n">
        <v>34108.41</v>
      </c>
      <c r="E71" s="25" t="n">
        <v>14330.6</v>
      </c>
      <c r="F71" s="25" t="n">
        <v>4634.3</v>
      </c>
      <c r="G71" s="25" t="n">
        <v>47481.74</v>
      </c>
      <c r="H71" s="25" t="n">
        <v>62572.25</v>
      </c>
      <c r="I71" s="25" t="n">
        <v>107029.35</v>
      </c>
      <c r="J71" s="25" t="n">
        <v>4096.92</v>
      </c>
      <c r="K71" s="25" t="n">
        <v>108796.02</v>
      </c>
      <c r="L71" s="25" t="n">
        <v>336070.67</v>
      </c>
      <c r="M71" s="25" t="n">
        <v>176382.42</v>
      </c>
      <c r="N71" s="25">
        <f>SUM(B71:M71)</f>
        <v/>
      </c>
    </row>
    <row r="72">
      <c r="A72" s="30" t="n">
        <v>2026</v>
      </c>
      <c r="B72" s="31" t="n">
        <v>32020.17</v>
      </c>
      <c r="C72" s="31" t="n">
        <v>78565.28999999999</v>
      </c>
      <c r="D72" s="31" t="n">
        <v>88547.91</v>
      </c>
      <c r="E72" s="31" t="n">
        <v>36334.09</v>
      </c>
      <c r="F72" s="31" t="n">
        <v>45797.8</v>
      </c>
      <c r="G72" s="31" t="n">
        <v>66020.17</v>
      </c>
      <c r="H72" s="31" t="n">
        <v>273434.6</v>
      </c>
      <c r="I72" s="31" t="n">
        <v>0</v>
      </c>
      <c r="J72" s="31" t="n">
        <v>0</v>
      </c>
      <c r="K72" s="31" t="n">
        <v>0</v>
      </c>
      <c r="L72" s="31" t="n">
        <v>0</v>
      </c>
      <c r="M72" s="31" t="n">
        <v>523371.08</v>
      </c>
      <c r="N72" s="31">
        <f>SUM(B72:M72)</f>
        <v/>
      </c>
    </row>
    <row r="73"/>
    <row r="74"/>
    <row r="75"/>
    <row r="76"/>
    <row r="77"/>
    <row r="78"/>
    <row r="79"/>
    <row r="80"/>
    <row r="81"/>
    <row r="82"/>
    <row r="83"/>
    <row r="84"/>
    <row r="85">
      <c r="A85" s="32" t="inlineStr">
        <is>
          <t>PETROQUIMICA</t>
        </is>
      </c>
    </row>
    <row r="86">
      <c r="A86" s="23" t="inlineStr">
        <is>
          <t>Año</t>
        </is>
      </c>
      <c r="B86" s="23" t="inlineStr">
        <is>
          <t>ENE</t>
        </is>
      </c>
      <c r="C86" s="23" t="inlineStr">
        <is>
          <t>FEB</t>
        </is>
      </c>
      <c r="D86" s="23" t="inlineStr">
        <is>
          <t>MAR</t>
        </is>
      </c>
      <c r="E86" s="23" t="inlineStr">
        <is>
          <t>ABR</t>
        </is>
      </c>
      <c r="F86" s="23" t="inlineStr">
        <is>
          <t>MAY</t>
        </is>
      </c>
      <c r="G86" s="23" t="inlineStr">
        <is>
          <t>JUN</t>
        </is>
      </c>
      <c r="H86" s="23" t="inlineStr">
        <is>
          <t>JUL</t>
        </is>
      </c>
      <c r="I86" s="23" t="inlineStr">
        <is>
          <t>AGO</t>
        </is>
      </c>
      <c r="J86" s="23" t="inlineStr">
        <is>
          <t>SEP</t>
        </is>
      </c>
      <c r="K86" s="23" t="inlineStr">
        <is>
          <t>OCT</t>
        </is>
      </c>
      <c r="L86" s="23" t="inlineStr">
        <is>
          <t>NOV</t>
        </is>
      </c>
      <c r="M86" s="23" t="inlineStr">
        <is>
          <t>DIC</t>
        </is>
      </c>
      <c r="N86" s="23" t="inlineStr">
        <is>
          <t>Total</t>
        </is>
      </c>
    </row>
    <row r="87">
      <c r="A87" s="24" t="n">
        <v>2011</v>
      </c>
      <c r="B87" s="25" t="n">
        <v>0</v>
      </c>
      <c r="C87" s="25" t="n">
        <v>0</v>
      </c>
      <c r="D87" s="25" t="n">
        <v>0</v>
      </c>
      <c r="E87" s="25" t="n">
        <v>0</v>
      </c>
      <c r="F87" s="25" t="n">
        <v>5468.28</v>
      </c>
      <c r="G87" s="25" t="n">
        <v>0</v>
      </c>
      <c r="H87" s="25" t="n">
        <v>4773.72</v>
      </c>
      <c r="I87" s="25" t="n">
        <v>13919.66</v>
      </c>
      <c r="J87" s="25" t="n">
        <v>1104</v>
      </c>
      <c r="K87" s="25" t="n">
        <v>0</v>
      </c>
      <c r="L87" s="25" t="n">
        <v>43210</v>
      </c>
      <c r="M87" s="25" t="n">
        <v>363</v>
      </c>
      <c r="N87" s="25">
        <f>SUM(B87:M87)</f>
        <v/>
      </c>
    </row>
    <row r="88">
      <c r="A88" s="27" t="n">
        <v>2012</v>
      </c>
      <c r="B88" s="28" t="n">
        <v>0</v>
      </c>
      <c r="C88" s="28" t="n">
        <v>13861.19</v>
      </c>
      <c r="D88" s="28" t="n">
        <v>1073</v>
      </c>
      <c r="E88" s="28" t="n">
        <v>1053</v>
      </c>
      <c r="F88" s="28" t="n">
        <v>3010</v>
      </c>
      <c r="G88" s="28" t="n">
        <v>2677.05</v>
      </c>
      <c r="H88" s="28" t="n">
        <v>0</v>
      </c>
      <c r="I88" s="28" t="n">
        <v>105568.43</v>
      </c>
      <c r="J88" s="28" t="n">
        <v>53389.23</v>
      </c>
      <c r="K88" s="28" t="n">
        <v>509</v>
      </c>
      <c r="L88" s="28" t="n">
        <v>1642.88</v>
      </c>
      <c r="M88" s="28" t="n">
        <v>0</v>
      </c>
      <c r="N88" s="28">
        <f>SUM(B88:M88)</f>
        <v/>
      </c>
    </row>
    <row r="89">
      <c r="A89" s="24" t="n">
        <v>2013</v>
      </c>
      <c r="B89" s="25" t="n">
        <v>1659.12</v>
      </c>
      <c r="C89" s="25" t="n">
        <v>14352.53</v>
      </c>
      <c r="D89" s="25" t="n">
        <v>15850.32</v>
      </c>
      <c r="E89" s="25" t="n">
        <v>59939.15</v>
      </c>
      <c r="F89" s="25" t="n">
        <v>38156.95</v>
      </c>
      <c r="G89" s="25" t="n">
        <v>3181.34</v>
      </c>
      <c r="H89" s="25" t="n">
        <v>14384.07</v>
      </c>
      <c r="I89" s="25" t="n">
        <v>26043.82</v>
      </c>
      <c r="J89" s="25" t="n">
        <v>11998.09</v>
      </c>
      <c r="K89" s="25" t="n">
        <v>2709.1</v>
      </c>
      <c r="L89" s="25" t="n">
        <v>0</v>
      </c>
      <c r="M89" s="25" t="n">
        <v>12296</v>
      </c>
      <c r="N89" s="25">
        <f>SUM(B89:M89)</f>
        <v/>
      </c>
    </row>
    <row r="90">
      <c r="A90" s="27" t="n">
        <v>2014</v>
      </c>
      <c r="B90" s="28" t="n">
        <v>3588</v>
      </c>
      <c r="C90" s="28" t="n">
        <v>24847.99</v>
      </c>
      <c r="D90" s="28" t="n">
        <v>0</v>
      </c>
      <c r="E90" s="28" t="n">
        <v>14548</v>
      </c>
      <c r="F90" s="28" t="n">
        <v>3520</v>
      </c>
      <c r="G90" s="28" t="n">
        <v>34875.43</v>
      </c>
      <c r="H90" s="28" t="n">
        <v>2055</v>
      </c>
      <c r="I90" s="28" t="n">
        <v>360</v>
      </c>
      <c r="J90" s="28" t="n">
        <v>0</v>
      </c>
      <c r="K90" s="28" t="n">
        <v>9068.299999999999</v>
      </c>
      <c r="L90" s="28" t="n">
        <v>0</v>
      </c>
      <c r="M90" s="28" t="n">
        <v>1028.5</v>
      </c>
      <c r="N90" s="28">
        <f>SUM(B90:M90)</f>
        <v/>
      </c>
    </row>
    <row r="91">
      <c r="A91" s="24" t="n">
        <v>2015</v>
      </c>
      <c r="B91" s="25" t="n">
        <v>14229.12</v>
      </c>
      <c r="C91" s="25" t="n">
        <v>7866.1</v>
      </c>
      <c r="D91" s="25" t="n">
        <v>984.48</v>
      </c>
      <c r="E91" s="25" t="n">
        <v>7838.49</v>
      </c>
      <c r="F91" s="25" t="n">
        <v>1217.66</v>
      </c>
      <c r="G91" s="25" t="n">
        <v>4848.44</v>
      </c>
      <c r="H91" s="25" t="n">
        <v>0</v>
      </c>
      <c r="I91" s="25" t="n">
        <v>0</v>
      </c>
      <c r="J91" s="25" t="n">
        <v>33908.81</v>
      </c>
      <c r="K91" s="25" t="n">
        <v>25648.62</v>
      </c>
      <c r="L91" s="25" t="n">
        <v>5282.88</v>
      </c>
      <c r="M91" s="25" t="n">
        <v>5856.21</v>
      </c>
      <c r="N91" s="25">
        <f>SUM(B91:M91)</f>
        <v/>
      </c>
    </row>
    <row r="92">
      <c r="A92" s="27" t="n">
        <v>2016</v>
      </c>
      <c r="B92" s="28" t="n">
        <v>20374.96</v>
      </c>
      <c r="C92" s="28" t="n">
        <v>9826.620000000001</v>
      </c>
      <c r="D92" s="28" t="n">
        <v>8226</v>
      </c>
      <c r="E92" s="28" t="n">
        <v>93.09999999999999</v>
      </c>
      <c r="F92" s="28" t="n">
        <v>7169.29</v>
      </c>
      <c r="G92" s="28" t="n">
        <v>15061.47</v>
      </c>
      <c r="H92" s="28" t="n">
        <v>41332.32</v>
      </c>
      <c r="I92" s="28" t="n">
        <v>18089.06</v>
      </c>
      <c r="J92" s="28" t="n">
        <v>2625.84</v>
      </c>
      <c r="K92" s="28" t="n">
        <v>3397.28</v>
      </c>
      <c r="L92" s="28" t="n">
        <v>0</v>
      </c>
      <c r="M92" s="28" t="n">
        <v>4403</v>
      </c>
      <c r="N92" s="28">
        <f>SUM(B92:M92)</f>
        <v/>
      </c>
    </row>
    <row r="93">
      <c r="A93" s="24" t="n">
        <v>2017</v>
      </c>
      <c r="B93" s="25" t="n">
        <v>2400</v>
      </c>
      <c r="C93" s="25" t="n">
        <v>4167</v>
      </c>
      <c r="D93" s="25" t="n">
        <v>22372.52</v>
      </c>
      <c r="E93" s="25" t="n">
        <v>82325.25999999999</v>
      </c>
      <c r="F93" s="25" t="n">
        <v>4413.7</v>
      </c>
      <c r="G93" s="25" t="n">
        <v>0</v>
      </c>
      <c r="H93" s="25" t="n">
        <v>34010.45</v>
      </c>
      <c r="I93" s="25" t="n">
        <v>10047.04</v>
      </c>
      <c r="J93" s="25" t="n">
        <v>37740.95</v>
      </c>
      <c r="K93" s="25" t="n">
        <v>32464.09</v>
      </c>
      <c r="L93" s="25" t="n">
        <v>18921.38</v>
      </c>
      <c r="M93" s="25" t="n">
        <v>0</v>
      </c>
      <c r="N93" s="25">
        <f>SUM(B93:M93)</f>
        <v/>
      </c>
    </row>
    <row r="94">
      <c r="A94" s="27" t="n">
        <v>2018</v>
      </c>
      <c r="B94" s="28" t="n">
        <v>7968.5</v>
      </c>
      <c r="C94" s="28" t="n">
        <v>5401.4</v>
      </c>
      <c r="D94" s="28" t="n">
        <v>7433.89</v>
      </c>
      <c r="E94" s="28" t="n">
        <v>12606.02</v>
      </c>
      <c r="F94" s="28" t="n">
        <v>16316.77</v>
      </c>
      <c r="G94" s="28" t="n">
        <v>1800</v>
      </c>
      <c r="H94" s="28" t="n">
        <v>10149.57</v>
      </c>
      <c r="I94" s="28" t="n">
        <v>12383.67</v>
      </c>
      <c r="J94" s="28" t="n">
        <v>12903.52</v>
      </c>
      <c r="K94" s="28" t="n">
        <v>131483.24</v>
      </c>
      <c r="L94" s="28" t="n">
        <v>37845.1</v>
      </c>
      <c r="M94" s="28" t="n">
        <v>3640.16</v>
      </c>
      <c r="N94" s="28">
        <f>SUM(B94:M94)</f>
        <v/>
      </c>
    </row>
    <row r="95">
      <c r="A95" s="24" t="n">
        <v>2019</v>
      </c>
      <c r="B95" s="25" t="n">
        <v>466435.24</v>
      </c>
      <c r="C95" s="25" t="n">
        <v>13034.94</v>
      </c>
      <c r="D95" s="25" t="n">
        <v>233422.76</v>
      </c>
      <c r="E95" s="25" t="n">
        <v>76660</v>
      </c>
      <c r="F95" s="25" t="n">
        <v>6802</v>
      </c>
      <c r="G95" s="25" t="n">
        <v>6953.52</v>
      </c>
      <c r="H95" s="25" t="n">
        <v>0</v>
      </c>
      <c r="I95" s="25" t="n">
        <v>33360.32</v>
      </c>
      <c r="J95" s="25" t="n">
        <v>14014.59</v>
      </c>
      <c r="K95" s="25" t="n">
        <v>25336.44</v>
      </c>
      <c r="L95" s="25" t="n">
        <v>17553.99</v>
      </c>
      <c r="M95" s="25" t="n">
        <v>2355.18</v>
      </c>
      <c r="N95" s="25">
        <f>SUM(B95:M95)</f>
        <v/>
      </c>
    </row>
    <row r="96">
      <c r="A96" s="27" t="n">
        <v>2020</v>
      </c>
      <c r="B96" s="28" t="n">
        <v>101614.12</v>
      </c>
      <c r="C96" s="28" t="n">
        <v>13024.59</v>
      </c>
      <c r="D96" s="28" t="n">
        <v>3089.01</v>
      </c>
      <c r="E96" s="28" t="n">
        <v>390</v>
      </c>
      <c r="F96" s="28" t="n">
        <v>48185.67</v>
      </c>
      <c r="G96" s="28" t="n">
        <v>4778.64</v>
      </c>
      <c r="H96" s="28" t="n">
        <v>835.36</v>
      </c>
      <c r="I96" s="28" t="n">
        <v>84176.5</v>
      </c>
      <c r="J96" s="28" t="n">
        <v>17431.97</v>
      </c>
      <c r="K96" s="28" t="n">
        <v>0</v>
      </c>
      <c r="L96" s="28" t="n">
        <v>6427.5</v>
      </c>
      <c r="M96" s="28" t="n">
        <v>27590.72</v>
      </c>
      <c r="N96" s="28">
        <f>SUM(B96:M96)</f>
        <v/>
      </c>
    </row>
    <row r="97">
      <c r="A97" s="24" t="n">
        <v>2021</v>
      </c>
      <c r="B97" s="25" t="n">
        <v>3420</v>
      </c>
      <c r="C97" s="25" t="n">
        <v>450</v>
      </c>
      <c r="D97" s="25" t="n">
        <v>25941.8</v>
      </c>
      <c r="E97" s="25" t="n">
        <v>365</v>
      </c>
      <c r="F97" s="25" t="n">
        <v>6052.51</v>
      </c>
      <c r="G97" s="25" t="n">
        <v>3531.68</v>
      </c>
      <c r="H97" s="25" t="n">
        <v>0</v>
      </c>
      <c r="I97" s="25" t="n">
        <v>4689.02</v>
      </c>
      <c r="J97" s="25" t="n">
        <v>19843.58</v>
      </c>
      <c r="K97" s="25" t="n">
        <v>14295.16</v>
      </c>
      <c r="L97" s="25" t="n">
        <v>114442.35</v>
      </c>
      <c r="M97" s="25" t="n">
        <v>14476.34</v>
      </c>
      <c r="N97" s="25">
        <f>SUM(B97:M97)</f>
        <v/>
      </c>
    </row>
    <row r="98">
      <c r="A98" s="27" t="n">
        <v>2022</v>
      </c>
      <c r="B98" s="28" t="n">
        <v>67901.98</v>
      </c>
      <c r="C98" s="28" t="n">
        <v>0</v>
      </c>
      <c r="D98" s="28" t="n">
        <v>8327.98</v>
      </c>
      <c r="E98" s="28" t="n">
        <v>3376.22</v>
      </c>
      <c r="F98" s="28" t="n">
        <v>388.73</v>
      </c>
      <c r="G98" s="28" t="n">
        <v>390</v>
      </c>
      <c r="H98" s="28" t="n">
        <v>8060</v>
      </c>
      <c r="I98" s="28" t="n">
        <v>6960</v>
      </c>
      <c r="J98" s="28" t="n">
        <v>49249.2</v>
      </c>
      <c r="K98" s="28" t="n">
        <v>1470</v>
      </c>
      <c r="L98" s="28" t="n">
        <v>16281.31</v>
      </c>
      <c r="M98" s="28" t="n">
        <v>0</v>
      </c>
      <c r="N98" s="28">
        <f>SUM(B98:M98)</f>
        <v/>
      </c>
    </row>
    <row r="99">
      <c r="A99" s="24" t="n">
        <v>2023</v>
      </c>
      <c r="B99" s="25" t="n">
        <v>6048.14</v>
      </c>
      <c r="C99" s="25" t="n">
        <v>1986.99</v>
      </c>
      <c r="D99" s="25" t="n">
        <v>1686</v>
      </c>
      <c r="E99" s="25" t="n">
        <v>64.08</v>
      </c>
      <c r="F99" s="25" t="n">
        <v>0</v>
      </c>
      <c r="G99" s="25" t="n">
        <v>670</v>
      </c>
      <c r="H99" s="25" t="n">
        <v>0</v>
      </c>
      <c r="I99" s="25" t="n">
        <v>0</v>
      </c>
      <c r="J99" s="25" t="n">
        <v>0</v>
      </c>
      <c r="K99" s="25" t="n">
        <v>51994.16</v>
      </c>
      <c r="L99" s="25" t="n">
        <v>58893.71</v>
      </c>
      <c r="M99" s="25" t="n">
        <v>131402.06</v>
      </c>
      <c r="N99" s="25">
        <f>SUM(B99:M99)</f>
        <v/>
      </c>
    </row>
    <row r="100">
      <c r="A100" s="27" t="n">
        <v>2024</v>
      </c>
      <c r="B100" s="28" t="n">
        <v>0</v>
      </c>
      <c r="C100" s="28" t="n">
        <v>184968.58</v>
      </c>
      <c r="D100" s="28" t="n">
        <v>0</v>
      </c>
      <c r="E100" s="28" t="n">
        <v>5100</v>
      </c>
      <c r="F100" s="28" t="n">
        <v>290</v>
      </c>
      <c r="G100" s="28" t="n">
        <v>13314.54</v>
      </c>
      <c r="H100" s="28" t="n">
        <v>0</v>
      </c>
      <c r="I100" s="28" t="n">
        <v>410</v>
      </c>
      <c r="J100" s="28" t="n">
        <v>3609.27</v>
      </c>
      <c r="K100" s="28" t="n">
        <v>760</v>
      </c>
      <c r="L100" s="28" t="n">
        <v>9815</v>
      </c>
      <c r="M100" s="28" t="n">
        <v>34989.64</v>
      </c>
      <c r="N100" s="28">
        <f>SUM(B100:M100)</f>
        <v/>
      </c>
    </row>
    <row r="101">
      <c r="A101" s="24" t="n">
        <v>2025</v>
      </c>
      <c r="B101" s="25" t="n">
        <v>4326.68</v>
      </c>
      <c r="C101" s="25" t="n">
        <v>0</v>
      </c>
      <c r="D101" s="25" t="n">
        <v>4039.69</v>
      </c>
      <c r="E101" s="25" t="n">
        <v>6892.8</v>
      </c>
      <c r="F101" s="25" t="n">
        <v>9505.41</v>
      </c>
      <c r="G101" s="25" t="n">
        <v>5401.51</v>
      </c>
      <c r="H101" s="25" t="n">
        <v>1178.96</v>
      </c>
      <c r="I101" s="25" t="n">
        <v>0</v>
      </c>
      <c r="J101" s="25" t="n">
        <v>0</v>
      </c>
      <c r="K101" s="25" t="n">
        <v>0</v>
      </c>
      <c r="L101" s="25" t="n">
        <v>8130</v>
      </c>
      <c r="M101" s="25" t="n">
        <v>194620</v>
      </c>
      <c r="N101" s="25">
        <f>SUM(B101:M101)</f>
        <v/>
      </c>
    </row>
    <row r="102">
      <c r="A102" s="30" t="n">
        <v>2026</v>
      </c>
      <c r="B102" s="31" t="n">
        <v>0</v>
      </c>
      <c r="C102" s="31" t="n">
        <v>170600</v>
      </c>
      <c r="D102" s="31" t="n">
        <v>4640</v>
      </c>
      <c r="E102" s="31" t="n">
        <v>0</v>
      </c>
      <c r="F102" s="31" t="n">
        <v>1420</v>
      </c>
      <c r="G102" s="31" t="n">
        <v>21848.8</v>
      </c>
      <c r="H102" s="31" t="n">
        <v>3080</v>
      </c>
      <c r="I102" s="31" t="n">
        <v>0</v>
      </c>
      <c r="J102" s="31" t="n">
        <v>0</v>
      </c>
      <c r="K102" s="31" t="n">
        <v>0</v>
      </c>
      <c r="L102" s="31" t="n">
        <v>0</v>
      </c>
      <c r="M102" s="31" t="n">
        <v>32050</v>
      </c>
      <c r="N102" s="31">
        <f>SUM(B102:M102)</f>
        <v/>
      </c>
    </row>
    <row r="103"/>
    <row r="104"/>
    <row r="105"/>
    <row r="106"/>
    <row r="107"/>
    <row r="108"/>
    <row r="109"/>
    <row r="110"/>
    <row r="111"/>
    <row r="112"/>
    <row r="113"/>
    <row r="114"/>
    <row r="115">
      <c r="A115" s="32" t="inlineStr">
        <is>
          <t>SAFETY</t>
        </is>
      </c>
    </row>
    <row r="116">
      <c r="A116" s="23" t="inlineStr">
        <is>
          <t>Año</t>
        </is>
      </c>
      <c r="B116" s="23" t="inlineStr">
        <is>
          <t>ENE</t>
        </is>
      </c>
      <c r="C116" s="23" t="inlineStr">
        <is>
          <t>FEB</t>
        </is>
      </c>
      <c r="D116" s="23" t="inlineStr">
        <is>
          <t>MAR</t>
        </is>
      </c>
      <c r="E116" s="23" t="inlineStr">
        <is>
          <t>ABR</t>
        </is>
      </c>
      <c r="F116" s="23" t="inlineStr">
        <is>
          <t>MAY</t>
        </is>
      </c>
      <c r="G116" s="23" t="inlineStr">
        <is>
          <t>JUN</t>
        </is>
      </c>
      <c r="H116" s="23" t="inlineStr">
        <is>
          <t>JUL</t>
        </is>
      </c>
      <c r="I116" s="23" t="inlineStr">
        <is>
          <t>AGO</t>
        </is>
      </c>
      <c r="J116" s="23" t="inlineStr">
        <is>
          <t>SEP</t>
        </is>
      </c>
      <c r="K116" s="23" t="inlineStr">
        <is>
          <t>OCT</t>
        </is>
      </c>
      <c r="L116" s="23" t="inlineStr">
        <is>
          <t>NOV</t>
        </is>
      </c>
      <c r="M116" s="23" t="inlineStr">
        <is>
          <t>DIC</t>
        </is>
      </c>
      <c r="N116" s="23" t="inlineStr">
        <is>
          <t>Total</t>
        </is>
      </c>
    </row>
    <row r="117">
      <c r="A117" s="24" t="n">
        <v>2011</v>
      </c>
      <c r="B117" s="25" t="n">
        <v>0</v>
      </c>
      <c r="C117" s="25" t="n">
        <v>0</v>
      </c>
      <c r="D117" s="25" t="n">
        <v>0</v>
      </c>
      <c r="E117" s="25" t="n">
        <v>0</v>
      </c>
      <c r="F117" s="25" t="n">
        <v>0</v>
      </c>
      <c r="G117" s="25" t="n">
        <v>0</v>
      </c>
      <c r="H117" s="25" t="n">
        <v>0</v>
      </c>
      <c r="I117" s="25" t="n">
        <v>0</v>
      </c>
      <c r="J117" s="25" t="n">
        <v>0</v>
      </c>
      <c r="K117" s="25" t="n">
        <v>0</v>
      </c>
      <c r="L117" s="25" t="n">
        <v>0</v>
      </c>
      <c r="M117" s="25" t="n">
        <v>0</v>
      </c>
      <c r="N117" s="25">
        <f>SUM(B117:M117)</f>
        <v/>
      </c>
    </row>
    <row r="118">
      <c r="A118" s="27" t="n">
        <v>2012</v>
      </c>
      <c r="B118" s="28" t="n">
        <v>0</v>
      </c>
      <c r="C118" s="28" t="n">
        <v>0</v>
      </c>
      <c r="D118" s="28" t="n">
        <v>0</v>
      </c>
      <c r="E118" s="28" t="n">
        <v>0</v>
      </c>
      <c r="F118" s="28" t="n">
        <v>0</v>
      </c>
      <c r="G118" s="28" t="n">
        <v>0</v>
      </c>
      <c r="H118" s="28" t="n">
        <v>0</v>
      </c>
      <c r="I118" s="28" t="n">
        <v>0</v>
      </c>
      <c r="J118" s="28" t="n">
        <v>0</v>
      </c>
      <c r="K118" s="28" t="n">
        <v>0</v>
      </c>
      <c r="L118" s="28" t="n">
        <v>0</v>
      </c>
      <c r="M118" s="28" t="n">
        <v>0</v>
      </c>
      <c r="N118" s="28">
        <f>SUM(B118:M118)</f>
        <v/>
      </c>
    </row>
    <row r="119">
      <c r="A119" s="24" t="n">
        <v>2013</v>
      </c>
      <c r="B119" s="25" t="n">
        <v>0</v>
      </c>
      <c r="C119" s="25" t="n">
        <v>0</v>
      </c>
      <c r="D119" s="25" t="n">
        <v>0</v>
      </c>
      <c r="E119" s="25" t="n">
        <v>0</v>
      </c>
      <c r="F119" s="25" t="n">
        <v>0</v>
      </c>
      <c r="G119" s="25" t="n">
        <v>0</v>
      </c>
      <c r="H119" s="25" t="n">
        <v>0</v>
      </c>
      <c r="I119" s="25" t="n">
        <v>0</v>
      </c>
      <c r="J119" s="25" t="n">
        <v>0</v>
      </c>
      <c r="K119" s="25" t="n">
        <v>0</v>
      </c>
      <c r="L119" s="25" t="n">
        <v>0</v>
      </c>
      <c r="M119" s="25" t="n">
        <v>0</v>
      </c>
      <c r="N119" s="25">
        <f>SUM(B119:M119)</f>
        <v/>
      </c>
    </row>
    <row r="120">
      <c r="A120" s="27" t="n">
        <v>2014</v>
      </c>
      <c r="B120" s="28" t="n">
        <v>0</v>
      </c>
      <c r="C120" s="28" t="n">
        <v>0</v>
      </c>
      <c r="D120" s="28" t="n">
        <v>0</v>
      </c>
      <c r="E120" s="28" t="n">
        <v>0</v>
      </c>
      <c r="F120" s="28" t="n">
        <v>0</v>
      </c>
      <c r="G120" s="28" t="n">
        <v>0</v>
      </c>
      <c r="H120" s="28" t="n">
        <v>0</v>
      </c>
      <c r="I120" s="28" t="n">
        <v>0</v>
      </c>
      <c r="J120" s="28" t="n">
        <v>0</v>
      </c>
      <c r="K120" s="28" t="n">
        <v>0</v>
      </c>
      <c r="L120" s="28" t="n">
        <v>0</v>
      </c>
      <c r="M120" s="28" t="n">
        <v>0</v>
      </c>
      <c r="N120" s="28">
        <f>SUM(B120:M120)</f>
        <v/>
      </c>
    </row>
    <row r="121">
      <c r="A121" s="24" t="n">
        <v>2015</v>
      </c>
      <c r="B121" s="25" t="n">
        <v>0</v>
      </c>
      <c r="C121" s="25" t="n">
        <v>0</v>
      </c>
      <c r="D121" s="25" t="n">
        <v>0</v>
      </c>
      <c r="E121" s="25" t="n">
        <v>0</v>
      </c>
      <c r="F121" s="25" t="n">
        <v>0</v>
      </c>
      <c r="G121" s="25" t="n">
        <v>0</v>
      </c>
      <c r="H121" s="25" t="n">
        <v>0</v>
      </c>
      <c r="I121" s="25" t="n">
        <v>0</v>
      </c>
      <c r="J121" s="25" t="n">
        <v>0</v>
      </c>
      <c r="K121" s="25" t="n">
        <v>0</v>
      </c>
      <c r="L121" s="25" t="n">
        <v>0</v>
      </c>
      <c r="M121" s="25" t="n">
        <v>0</v>
      </c>
      <c r="N121" s="25">
        <f>SUM(B121:M121)</f>
        <v/>
      </c>
    </row>
    <row r="122">
      <c r="A122" s="27" t="n">
        <v>2016</v>
      </c>
      <c r="B122" s="28" t="n">
        <v>0</v>
      </c>
      <c r="C122" s="28" t="n">
        <v>0</v>
      </c>
      <c r="D122" s="28" t="n">
        <v>0</v>
      </c>
      <c r="E122" s="28" t="n">
        <v>0</v>
      </c>
      <c r="F122" s="28" t="n">
        <v>0</v>
      </c>
      <c r="G122" s="28" t="n">
        <v>0</v>
      </c>
      <c r="H122" s="28" t="n">
        <v>0</v>
      </c>
      <c r="I122" s="28" t="n">
        <v>0</v>
      </c>
      <c r="J122" s="28" t="n">
        <v>0</v>
      </c>
      <c r="K122" s="28" t="n">
        <v>0</v>
      </c>
      <c r="L122" s="28" t="n">
        <v>0</v>
      </c>
      <c r="M122" s="28" t="n">
        <v>0</v>
      </c>
      <c r="N122" s="28">
        <f>SUM(B122:M122)</f>
        <v/>
      </c>
    </row>
    <row r="123">
      <c r="A123" s="24" t="n">
        <v>2017</v>
      </c>
      <c r="B123" s="25" t="n">
        <v>0</v>
      </c>
      <c r="C123" s="25" t="n">
        <v>0</v>
      </c>
      <c r="D123" s="25" t="n">
        <v>0</v>
      </c>
      <c r="E123" s="25" t="n">
        <v>0</v>
      </c>
      <c r="F123" s="25" t="n">
        <v>0</v>
      </c>
      <c r="G123" s="25" t="n">
        <v>0</v>
      </c>
      <c r="H123" s="25" t="n">
        <v>0</v>
      </c>
      <c r="I123" s="25" t="n">
        <v>0</v>
      </c>
      <c r="J123" s="25" t="n">
        <v>0</v>
      </c>
      <c r="K123" s="25" t="n">
        <v>0</v>
      </c>
      <c r="L123" s="25" t="n">
        <v>0</v>
      </c>
      <c r="M123" s="25" t="n">
        <v>0</v>
      </c>
      <c r="N123" s="25">
        <f>SUM(B123:M123)</f>
        <v/>
      </c>
    </row>
    <row r="124">
      <c r="A124" s="27" t="n">
        <v>2018</v>
      </c>
      <c r="B124" s="28" t="n">
        <v>0</v>
      </c>
      <c r="C124" s="28" t="n">
        <v>0</v>
      </c>
      <c r="D124" s="28" t="n">
        <v>0</v>
      </c>
      <c r="E124" s="28" t="n">
        <v>487</v>
      </c>
      <c r="F124" s="28" t="n">
        <v>1600</v>
      </c>
      <c r="G124" s="28" t="n">
        <v>0</v>
      </c>
      <c r="H124" s="28" t="n">
        <v>4000</v>
      </c>
      <c r="I124" s="28" t="n">
        <v>49860</v>
      </c>
      <c r="J124" s="28" t="n">
        <v>45409.77</v>
      </c>
      <c r="K124" s="28" t="n">
        <v>84970</v>
      </c>
      <c r="L124" s="28" t="n">
        <v>17700</v>
      </c>
      <c r="M124" s="28" t="n">
        <v>0</v>
      </c>
      <c r="N124" s="28">
        <f>SUM(B124:M124)</f>
        <v/>
      </c>
    </row>
    <row r="125">
      <c r="A125" s="24" t="n">
        <v>2019</v>
      </c>
      <c r="B125" s="25" t="n">
        <v>700</v>
      </c>
      <c r="C125" s="25" t="n">
        <v>0</v>
      </c>
      <c r="D125" s="25" t="n">
        <v>600</v>
      </c>
      <c r="E125" s="25" t="n">
        <v>4277.02</v>
      </c>
      <c r="F125" s="25" t="n">
        <v>0</v>
      </c>
      <c r="G125" s="25" t="n">
        <v>1800</v>
      </c>
      <c r="H125" s="25" t="n">
        <v>0</v>
      </c>
      <c r="I125" s="25" t="n">
        <v>2929.61</v>
      </c>
      <c r="J125" s="25" t="n">
        <v>262354.92</v>
      </c>
      <c r="K125" s="25" t="n">
        <v>15217.6</v>
      </c>
      <c r="L125" s="25" t="n">
        <v>125619.62</v>
      </c>
      <c r="M125" s="25" t="n">
        <v>2050</v>
      </c>
      <c r="N125" s="25">
        <f>SUM(B125:M125)</f>
        <v/>
      </c>
    </row>
    <row r="126">
      <c r="A126" s="27" t="n">
        <v>2020</v>
      </c>
      <c r="B126" s="28" t="n">
        <v>250</v>
      </c>
      <c r="C126" s="28" t="n">
        <v>880</v>
      </c>
      <c r="D126" s="28" t="n">
        <v>0</v>
      </c>
      <c r="E126" s="28" t="n">
        <v>56000</v>
      </c>
      <c r="F126" s="28" t="n">
        <v>15000</v>
      </c>
      <c r="G126" s="28" t="n">
        <v>0</v>
      </c>
      <c r="H126" s="28" t="n">
        <v>8827.51</v>
      </c>
      <c r="I126" s="28" t="n">
        <v>5150</v>
      </c>
      <c r="J126" s="28" t="n">
        <v>4980</v>
      </c>
      <c r="K126" s="28" t="n">
        <v>4069</v>
      </c>
      <c r="L126" s="28" t="n">
        <v>12035</v>
      </c>
      <c r="M126" s="28" t="n">
        <v>216995.41</v>
      </c>
      <c r="N126" s="28">
        <f>SUM(B126:M126)</f>
        <v/>
      </c>
    </row>
    <row r="127">
      <c r="A127" s="24" t="n">
        <v>2021</v>
      </c>
      <c r="B127" s="25" t="n">
        <v>3000</v>
      </c>
      <c r="C127" s="25" t="n">
        <v>0</v>
      </c>
      <c r="D127" s="25" t="n">
        <v>0</v>
      </c>
      <c r="E127" s="25" t="n">
        <v>0</v>
      </c>
      <c r="F127" s="25" t="n">
        <v>0</v>
      </c>
      <c r="G127" s="25" t="n">
        <v>0</v>
      </c>
      <c r="H127" s="25" t="n">
        <v>111530.38</v>
      </c>
      <c r="I127" s="25" t="n">
        <v>0</v>
      </c>
      <c r="J127" s="25" t="n">
        <v>0</v>
      </c>
      <c r="K127" s="25" t="n">
        <v>0</v>
      </c>
      <c r="L127" s="25" t="n">
        <v>0</v>
      </c>
      <c r="M127" s="25" t="n">
        <v>9920</v>
      </c>
      <c r="N127" s="25">
        <f>SUM(B127:M127)</f>
        <v/>
      </c>
    </row>
    <row r="128">
      <c r="A128" s="27" t="n">
        <v>2022</v>
      </c>
      <c r="B128" s="28" t="n">
        <v>0</v>
      </c>
      <c r="C128" s="28" t="n">
        <v>5415.99</v>
      </c>
      <c r="D128" s="28" t="n">
        <v>0</v>
      </c>
      <c r="E128" s="28" t="n">
        <v>3665.24</v>
      </c>
      <c r="F128" s="28" t="n">
        <v>27340.77</v>
      </c>
      <c r="G128" s="28" t="n">
        <v>0</v>
      </c>
      <c r="H128" s="28" t="n">
        <v>0</v>
      </c>
      <c r="I128" s="28" t="n">
        <v>0</v>
      </c>
      <c r="J128" s="28" t="n">
        <v>0</v>
      </c>
      <c r="K128" s="28" t="n">
        <v>0</v>
      </c>
      <c r="L128" s="28" t="n">
        <v>0</v>
      </c>
      <c r="M128" s="28" t="n">
        <v>0</v>
      </c>
      <c r="N128" s="28">
        <f>SUM(B128:M128)</f>
        <v/>
      </c>
    </row>
    <row r="129">
      <c r="A129" s="24" t="n">
        <v>2023</v>
      </c>
      <c r="B129" s="25" t="n">
        <v>0</v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5" t="n">
        <v>0</v>
      </c>
      <c r="L129" s="25" t="n">
        <v>0</v>
      </c>
      <c r="M129" s="25" t="n">
        <v>0</v>
      </c>
      <c r="N129" s="25">
        <f>SUM(B129:M129)</f>
        <v/>
      </c>
    </row>
    <row r="130">
      <c r="A130" s="27" t="n">
        <v>2024</v>
      </c>
      <c r="B130" s="28" t="n">
        <v>0</v>
      </c>
      <c r="C130" s="28" t="n">
        <v>0</v>
      </c>
      <c r="D130" s="28" t="n">
        <v>0</v>
      </c>
      <c r="E130" s="28" t="n">
        <v>0</v>
      </c>
      <c r="F130" s="28" t="n">
        <v>0</v>
      </c>
      <c r="G130" s="28" t="n">
        <v>0</v>
      </c>
      <c r="H130" s="28" t="n">
        <v>0</v>
      </c>
      <c r="I130" s="28" t="n">
        <v>0</v>
      </c>
      <c r="J130" s="28" t="n">
        <v>0</v>
      </c>
      <c r="K130" s="28" t="n">
        <v>0</v>
      </c>
      <c r="L130" s="28" t="n">
        <v>2114</v>
      </c>
      <c r="M130" s="28" t="n">
        <v>0</v>
      </c>
      <c r="N130" s="28">
        <f>SUM(B130:M130)</f>
        <v/>
      </c>
    </row>
    <row r="131">
      <c r="A131" s="24" t="n">
        <v>2025</v>
      </c>
      <c r="B131" s="25" t="n">
        <v>0</v>
      </c>
      <c r="C131" s="25" t="n">
        <v>0</v>
      </c>
      <c r="D131" s="25" t="n">
        <v>0</v>
      </c>
      <c r="E131" s="25" t="n">
        <v>0</v>
      </c>
      <c r="F131" s="25" t="n">
        <v>0</v>
      </c>
      <c r="G131" s="25" t="n">
        <v>11821.2</v>
      </c>
      <c r="H131" s="25" t="n">
        <v>0</v>
      </c>
      <c r="I131" s="25" t="n">
        <v>0</v>
      </c>
      <c r="J131" s="25" t="n">
        <v>0</v>
      </c>
      <c r="K131" s="25" t="n">
        <v>0</v>
      </c>
      <c r="L131" s="25" t="n">
        <v>608.5</v>
      </c>
      <c r="M131" s="25" t="n">
        <v>5950</v>
      </c>
      <c r="N131" s="25">
        <f>SUM(B131:M131)</f>
        <v/>
      </c>
    </row>
    <row r="132">
      <c r="A132" s="30" t="n">
        <v>2026</v>
      </c>
      <c r="B132" s="31" t="n">
        <v>0</v>
      </c>
      <c r="C132" s="31" t="n">
        <v>0</v>
      </c>
      <c r="D132" s="31" t="n">
        <v>0</v>
      </c>
      <c r="E132" s="31" t="n">
        <v>0</v>
      </c>
      <c r="F132" s="31" t="n">
        <v>0</v>
      </c>
      <c r="G132" s="31" t="n">
        <v>0</v>
      </c>
      <c r="H132" s="31" t="n">
        <v>0</v>
      </c>
      <c r="I132" s="31" t="n">
        <v>0</v>
      </c>
      <c r="J132" s="31" t="n">
        <v>0</v>
      </c>
      <c r="K132" s="31" t="n">
        <v>0</v>
      </c>
      <c r="L132" s="31" t="n">
        <v>0</v>
      </c>
      <c r="M132" s="31" t="n">
        <v>0</v>
      </c>
      <c r="N132" s="31">
        <f>SUM(B132:M132)</f>
        <v/>
      </c>
    </row>
    <row r="133"/>
    <row r="134"/>
    <row r="135"/>
    <row r="136"/>
    <row r="137"/>
    <row r="138"/>
    <row r="139"/>
    <row r="140"/>
    <row r="141"/>
    <row r="142"/>
    <row r="143"/>
    <row r="144"/>
    <row r="145">
      <c r="A145" s="32" t="inlineStr">
        <is>
          <t>GENERAL</t>
        </is>
      </c>
    </row>
    <row r="146">
      <c r="A146" s="23" t="inlineStr">
        <is>
          <t>Mes</t>
        </is>
      </c>
      <c r="B146" s="23" t="inlineStr">
        <is>
          <t>Total</t>
        </is>
      </c>
      <c r="C146" s="23" t="inlineStr">
        <is>
          <t>MIN</t>
        </is>
      </c>
      <c r="D146" s="23" t="inlineStr">
        <is>
          <t>IND</t>
        </is>
      </c>
      <c r="E146" s="23" t="inlineStr">
        <is>
          <t>OIL</t>
        </is>
      </c>
      <c r="F146" s="23" t="inlineStr">
        <is>
          <t>SFY</t>
        </is>
      </c>
    </row>
    <row r="147">
      <c r="A147" s="24" t="inlineStr">
        <is>
          <t>Enero</t>
        </is>
      </c>
      <c r="B147" s="25">
        <f>SUM(C147:F147)</f>
        <v/>
      </c>
      <c r="C147" s="25">
        <f>B72</f>
        <v/>
      </c>
      <c r="D147" s="25">
        <f>B42</f>
        <v/>
      </c>
      <c r="E147" s="25">
        <f>B102</f>
        <v/>
      </c>
      <c r="F147" s="25">
        <f>B132</f>
        <v/>
      </c>
    </row>
    <row r="148">
      <c r="A148" s="27" t="inlineStr">
        <is>
          <t>Febrero</t>
        </is>
      </c>
      <c r="B148" s="28">
        <f>SUM(C148:F148)</f>
        <v/>
      </c>
      <c r="C148" s="28">
        <f>C72</f>
        <v/>
      </c>
      <c r="D148" s="28">
        <f>C42</f>
        <v/>
      </c>
      <c r="E148" s="28">
        <f>C102</f>
        <v/>
      </c>
      <c r="F148" s="28">
        <f>C132</f>
        <v/>
      </c>
    </row>
    <row r="149">
      <c r="A149" s="24" t="inlineStr">
        <is>
          <t>Marzo</t>
        </is>
      </c>
      <c r="B149" s="25">
        <f>SUM(C149:F149)</f>
        <v/>
      </c>
      <c r="C149" s="25">
        <f>D72</f>
        <v/>
      </c>
      <c r="D149" s="25">
        <f>D42</f>
        <v/>
      </c>
      <c r="E149" s="25">
        <f>D102</f>
        <v/>
      </c>
      <c r="F149" s="25">
        <f>D132</f>
        <v/>
      </c>
    </row>
    <row r="150">
      <c r="A150" s="27" t="inlineStr">
        <is>
          <t>Abril</t>
        </is>
      </c>
      <c r="B150" s="28">
        <f>SUM(C150:F150)</f>
        <v/>
      </c>
      <c r="C150" s="28">
        <f>E72</f>
        <v/>
      </c>
      <c r="D150" s="28">
        <f>E42</f>
        <v/>
      </c>
      <c r="E150" s="28">
        <f>E102</f>
        <v/>
      </c>
      <c r="F150" s="28">
        <f>E132</f>
        <v/>
      </c>
    </row>
    <row r="151">
      <c r="A151" s="24" t="inlineStr">
        <is>
          <t>Mayo</t>
        </is>
      </c>
      <c r="B151" s="25">
        <f>SUM(C151:F151)</f>
        <v/>
      </c>
      <c r="C151" s="25">
        <f>F72</f>
        <v/>
      </c>
      <c r="D151" s="25">
        <f>F42</f>
        <v/>
      </c>
      <c r="E151" s="25">
        <f>F102</f>
        <v/>
      </c>
      <c r="F151" s="25">
        <f>F132</f>
        <v/>
      </c>
    </row>
    <row r="152">
      <c r="A152" s="27" t="inlineStr">
        <is>
          <t>Junio</t>
        </is>
      </c>
      <c r="B152" s="28">
        <f>SUM(C152:F152)</f>
        <v/>
      </c>
      <c r="C152" s="28">
        <f>G72</f>
        <v/>
      </c>
      <c r="D152" s="28">
        <f>G42</f>
        <v/>
      </c>
      <c r="E152" s="28">
        <f>G102</f>
        <v/>
      </c>
      <c r="F152" s="28">
        <f>G132</f>
        <v/>
      </c>
    </row>
    <row r="153">
      <c r="A153" s="24" t="inlineStr">
        <is>
          <t>Julio</t>
        </is>
      </c>
      <c r="B153" s="25">
        <f>SUM(C153:F153)</f>
        <v/>
      </c>
      <c r="C153" s="25">
        <f>H72</f>
        <v/>
      </c>
      <c r="D153" s="25">
        <f>H42</f>
        <v/>
      </c>
      <c r="E153" s="25">
        <f>H102</f>
        <v/>
      </c>
      <c r="F153" s="25">
        <f>H132</f>
        <v/>
      </c>
    </row>
    <row r="154">
      <c r="A154" s="27" t="inlineStr">
        <is>
          <t>Agosto</t>
        </is>
      </c>
      <c r="B154" s="28">
        <f>SUM(C154:F154)</f>
        <v/>
      </c>
      <c r="C154" s="28">
        <f>I72</f>
        <v/>
      </c>
      <c r="D154" s="28">
        <f>I42</f>
        <v/>
      </c>
      <c r="E154" s="28">
        <f>I102</f>
        <v/>
      </c>
      <c r="F154" s="28">
        <f>I132</f>
        <v/>
      </c>
    </row>
    <row r="155">
      <c r="A155" s="24" t="inlineStr">
        <is>
          <t>Setiembre</t>
        </is>
      </c>
      <c r="B155" s="25">
        <f>SUM(C155:F155)</f>
        <v/>
      </c>
      <c r="C155" s="25">
        <f>J72</f>
        <v/>
      </c>
      <c r="D155" s="25">
        <f>J42</f>
        <v/>
      </c>
      <c r="E155" s="25">
        <f>J102</f>
        <v/>
      </c>
      <c r="F155" s="25">
        <f>J132</f>
        <v/>
      </c>
    </row>
    <row r="156">
      <c r="A156" s="27" t="inlineStr">
        <is>
          <t>Octubre</t>
        </is>
      </c>
      <c r="B156" s="28">
        <f>SUM(C156:F156)</f>
        <v/>
      </c>
      <c r="C156" s="28">
        <f>K72</f>
        <v/>
      </c>
      <c r="D156" s="28">
        <f>K42</f>
        <v/>
      </c>
      <c r="E156" s="28">
        <f>K102</f>
        <v/>
      </c>
      <c r="F156" s="28">
        <f>K132</f>
        <v/>
      </c>
    </row>
    <row r="157">
      <c r="A157" s="24" t="inlineStr">
        <is>
          <t>Noviembre</t>
        </is>
      </c>
      <c r="B157" s="25">
        <f>SUM(C157:F157)</f>
        <v/>
      </c>
      <c r="C157" s="25">
        <f>L72</f>
        <v/>
      </c>
      <c r="D157" s="25">
        <f>L42</f>
        <v/>
      </c>
      <c r="E157" s="25">
        <f>L102</f>
        <v/>
      </c>
      <c r="F157" s="25">
        <f>L132</f>
        <v/>
      </c>
    </row>
    <row r="158">
      <c r="A158" s="27" t="inlineStr">
        <is>
          <t>Diciembre</t>
        </is>
      </c>
      <c r="B158" s="28">
        <f>SUM(C158:F158)</f>
        <v/>
      </c>
      <c r="C158" s="28">
        <f>M72</f>
        <v/>
      </c>
      <c r="D158" s="28">
        <f>M42</f>
        <v/>
      </c>
      <c r="E158" s="28">
        <f>M102</f>
        <v/>
      </c>
      <c r="F158" s="28">
        <f>M132</f>
        <v/>
      </c>
    </row>
  </sheetData>
  <mergeCells count="5">
    <mergeCell ref="A55:N55"/>
    <mergeCell ref="A25:N25"/>
    <mergeCell ref="A145:F145"/>
    <mergeCell ref="A85:N85"/>
    <mergeCell ref="A115:N1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5" customWidth="1" min="11" max="11"/>
    <col width="12" customWidth="1" min="12" max="12"/>
    <col width="18" customWidth="1" min="13" max="13"/>
  </cols>
  <sheetData>
    <row r="1">
      <c r="A1" s="1" t="inlineStr">
        <is>
          <t>COMPARTIVA DE OBJETIVOS Y METAS</t>
        </is>
      </c>
    </row>
    <row r="2" ht="28" customHeight="1">
      <c r="A2" s="2" t="inlineStr">
        <is>
          <t>ÁREA</t>
        </is>
      </c>
      <c r="B2" s="2" t="inlineStr">
        <is>
          <t>OBJETIVO ANUAL MÁXIMO</t>
        </is>
      </c>
      <c r="C2" s="2" t="inlineStr">
        <is>
          <t>OBJETIVO ANUAL MÍNIMO</t>
        </is>
      </c>
      <c r="D2" s="2" t="inlineStr">
        <is>
          <t>LOGRADO</t>
        </is>
      </c>
      <c r="E2" s="2" t="inlineStr">
        <is>
          <t>OBJETIVO MAX MENSUAL</t>
        </is>
      </c>
      <c r="F2" s="2" t="inlineStr">
        <is>
          <t>OBJETIVO MIN MENSUAL</t>
        </is>
      </c>
      <c r="G2" s="2" t="inlineStr">
        <is>
          <t>DIFERENCIA C/ MÍNIMO</t>
        </is>
      </c>
      <c r="H2" s="2" t="inlineStr">
        <is>
          <t>DIFERENCIA C/ MÁXIMO</t>
        </is>
      </c>
      <c r="I2" s="2" t="inlineStr">
        <is>
          <t>FALTANTE AL MÍNIMO</t>
        </is>
      </c>
      <c r="J2" s="2" t="inlineStr">
        <is>
          <t>FALTANTE AL MÁXIMO</t>
        </is>
      </c>
      <c r="L2" s="33" t="inlineStr">
        <is>
          <t>Año</t>
        </is>
      </c>
      <c r="M2" s="33" t="inlineStr">
        <is>
          <t>Logrado</t>
        </is>
      </c>
    </row>
    <row r="3">
      <c r="A3" s="34" t="inlineStr">
        <is>
          <t>MIN</t>
        </is>
      </c>
      <c r="B3" s="6" t="n">
        <v>625000</v>
      </c>
      <c r="C3" s="6" t="n">
        <v>615000</v>
      </c>
      <c r="D3" s="6">
        <f>MIN!O21</f>
        <v/>
      </c>
      <c r="E3" s="6">
        <f>B3/12*8</f>
        <v/>
      </c>
      <c r="F3" s="6">
        <f>C3/12*8</f>
        <v/>
      </c>
      <c r="G3" s="6">
        <f>D3-F3</f>
        <v/>
      </c>
      <c r="H3" s="6">
        <f>D3-E3</f>
        <v/>
      </c>
      <c r="I3" s="6">
        <f>D3-C3</f>
        <v/>
      </c>
      <c r="J3" s="6">
        <f>D3-B3</f>
        <v/>
      </c>
      <c r="L3" s="35" t="n">
        <v>2014</v>
      </c>
      <c r="M3" s="36" t="n">
        <v>599213.6899999999</v>
      </c>
    </row>
    <row r="4">
      <c r="A4" s="37" t="inlineStr">
        <is>
          <t>IND</t>
        </is>
      </c>
      <c r="B4" s="12" t="n">
        <v>260000</v>
      </c>
      <c r="C4" s="12" t="n">
        <v>250000</v>
      </c>
      <c r="D4" s="12">
        <f>IND!O22</f>
        <v/>
      </c>
      <c r="E4" s="12">
        <f>B4/12*8</f>
        <v/>
      </c>
      <c r="F4" s="12">
        <f>C4/12*8</f>
        <v/>
      </c>
      <c r="G4" s="12">
        <f>D4-F4</f>
        <v/>
      </c>
      <c r="H4" s="12">
        <f>D4-E4</f>
        <v/>
      </c>
      <c r="I4" s="12">
        <f>D4-C4</f>
        <v/>
      </c>
      <c r="J4" s="12">
        <f>D4-B4</f>
        <v/>
      </c>
      <c r="L4" s="38" t="n">
        <v>2015</v>
      </c>
      <c r="M4" s="39" t="n">
        <v>791852.48</v>
      </c>
    </row>
    <row r="5">
      <c r="A5" s="34" t="inlineStr">
        <is>
          <t>OIL</t>
        </is>
      </c>
      <c r="B5" s="6" t="n">
        <v>230000</v>
      </c>
      <c r="C5" s="6" t="n">
        <v>220000</v>
      </c>
      <c r="D5" s="6">
        <f>OIL!O16</f>
        <v/>
      </c>
      <c r="E5" s="6">
        <f>B5/12*8</f>
        <v/>
      </c>
      <c r="F5" s="6">
        <f>C5/12*8</f>
        <v/>
      </c>
      <c r="G5" s="6">
        <f>D5-F5</f>
        <v/>
      </c>
      <c r="H5" s="6">
        <f>D5-E5</f>
        <v/>
      </c>
      <c r="I5" s="6">
        <f>D5-C5</f>
        <v/>
      </c>
      <c r="J5" s="6">
        <f>D5-B5</f>
        <v/>
      </c>
      <c r="L5" s="35" t="n">
        <v>2016</v>
      </c>
      <c r="M5" s="36" t="n">
        <v>546600.85</v>
      </c>
    </row>
    <row r="6">
      <c r="A6" s="37" t="inlineStr">
        <is>
          <t>SFY</t>
        </is>
      </c>
      <c r="B6" s="12" t="n">
        <v>90000</v>
      </c>
      <c r="C6" s="12" t="n">
        <v>80000</v>
      </c>
      <c r="D6" s="12">
        <f>SFY!O17</f>
        <v/>
      </c>
      <c r="E6" s="12">
        <f>B6/12*8</f>
        <v/>
      </c>
      <c r="F6" s="12">
        <f>C6/12*8</f>
        <v/>
      </c>
      <c r="G6" s="12">
        <f>D6-F6</f>
        <v/>
      </c>
      <c r="H6" s="12">
        <f>D6-E6</f>
        <v/>
      </c>
      <c r="I6" s="12">
        <f>D6-C6</f>
        <v/>
      </c>
      <c r="J6" s="12">
        <f>D6-B6</f>
        <v/>
      </c>
      <c r="L6" s="38" t="n">
        <v>2017</v>
      </c>
      <c r="M6" s="39" t="n">
        <v>586456.22</v>
      </c>
    </row>
    <row r="7">
      <c r="A7" s="40" t="inlineStr">
        <is>
          <t>TOTALES</t>
        </is>
      </c>
      <c r="B7" s="41">
        <f>SUM(B3:B6)</f>
        <v/>
      </c>
      <c r="C7" s="41">
        <f>SUM(C3:C6)</f>
        <v/>
      </c>
      <c r="D7" s="41">
        <f>SUM(D3:D6)</f>
        <v/>
      </c>
      <c r="E7" s="41">
        <f>SUM(E3:E6)</f>
        <v/>
      </c>
      <c r="F7" s="41">
        <f>SUM(F3:F6)</f>
        <v/>
      </c>
      <c r="G7" s="41">
        <f>D7-F7</f>
        <v/>
      </c>
      <c r="H7" s="41">
        <f>D7-E7</f>
        <v/>
      </c>
      <c r="I7" s="41">
        <f>D7-C7</f>
        <v/>
      </c>
      <c r="J7" s="41">
        <f>D7-B7</f>
        <v/>
      </c>
      <c r="L7" s="35" t="n">
        <v>2018</v>
      </c>
      <c r="M7" s="36" t="n">
        <v>815521.11</v>
      </c>
    </row>
    <row r="8">
      <c r="L8" s="38" t="n">
        <v>2019</v>
      </c>
      <c r="M8" s="39" t="n">
        <v>706732.22</v>
      </c>
    </row>
    <row r="9">
      <c r="C9" s="42" t="inlineStr">
        <is>
          <t>Faltante al Mínimo</t>
        </is>
      </c>
      <c r="D9" s="43">
        <f>C7-D7</f>
        <v/>
      </c>
      <c r="L9" s="35" t="n">
        <v>2020</v>
      </c>
      <c r="M9" s="36" t="n">
        <v>820464.89</v>
      </c>
    </row>
    <row r="10">
      <c r="C10" s="42" t="inlineStr">
        <is>
          <t>Faltante al Máximo</t>
        </is>
      </c>
      <c r="D10" s="43">
        <f>B7-D7</f>
        <v/>
      </c>
      <c r="L10" s="38" t="n">
        <v>2021</v>
      </c>
      <c r="M10" s="39" t="n">
        <v>475934.45</v>
      </c>
    </row>
    <row r="11">
      <c r="L11" s="35" t="n">
        <v>2022</v>
      </c>
      <c r="M11" s="36" t="n">
        <v>764082.8100000001</v>
      </c>
    </row>
    <row r="12">
      <c r="L12" s="38" t="n">
        <v>2023</v>
      </c>
      <c r="M12" s="39" t="n">
        <v>832552.59</v>
      </c>
    </row>
    <row r="13">
      <c r="B13" s="44" t="inlineStr">
        <is>
          <t>MÁXIMO</t>
        </is>
      </c>
      <c r="C13" s="45" t="n"/>
      <c r="D13" s="44" t="inlineStr">
        <is>
          <t>MÍNIMO</t>
        </is>
      </c>
      <c r="E13" s="45" t="n"/>
      <c r="L13" s="35" t="n">
        <v>2024</v>
      </c>
      <c r="M13" s="36" t="n">
        <v>865726.08</v>
      </c>
    </row>
    <row r="14" ht="20" customHeight="1">
      <c r="B14" s="46" t="inlineStr">
        <is>
          <t>Avance</t>
        </is>
      </c>
      <c r="C14" s="46" t="inlineStr">
        <is>
          <t>Faltante</t>
        </is>
      </c>
      <c r="D14" s="46" t="inlineStr">
        <is>
          <t>Avance</t>
        </is>
      </c>
      <c r="E14" s="46" t="inlineStr">
        <is>
          <t>Faltante</t>
        </is>
      </c>
      <c r="L14" s="38" t="n">
        <v>2025</v>
      </c>
      <c r="M14" s="39" t="n">
        <v>787520.0600000001</v>
      </c>
    </row>
    <row r="15" ht="20" customHeight="1">
      <c r="A15" s="35" t="inlineStr">
        <is>
          <t>MIN</t>
        </is>
      </c>
      <c r="B15" s="47">
        <f>(D3*100/E3)%</f>
        <v/>
      </c>
      <c r="C15" s="47">
        <f>IF(B15&gt;=1,0,1-B15)</f>
        <v/>
      </c>
      <c r="D15" s="47">
        <f>(D3*100/F3)%</f>
        <v/>
      </c>
      <c r="E15" s="47">
        <f>IF(D15&gt;=1,0,1-D15)</f>
        <v/>
      </c>
      <c r="L15" s="35" t="n">
        <v>2026</v>
      </c>
      <c r="M15" s="36">
        <f>D7</f>
        <v/>
      </c>
    </row>
    <row r="16" ht="20" customHeight="1">
      <c r="A16" s="38" t="inlineStr">
        <is>
          <t>IND</t>
        </is>
      </c>
      <c r="B16" s="48">
        <f>(D4*100/E4)%</f>
        <v/>
      </c>
      <c r="C16" s="48">
        <f>IF(B16&gt;=1,0,1-B16)</f>
        <v/>
      </c>
      <c r="D16" s="48">
        <f>(D4*100/F4)%</f>
        <v/>
      </c>
      <c r="E16" s="48">
        <f>IF(D16&gt;=1,0,1-D16)</f>
        <v/>
      </c>
    </row>
    <row r="17" ht="20" customHeight="1">
      <c r="A17" s="35" t="inlineStr">
        <is>
          <t>OIL</t>
        </is>
      </c>
      <c r="B17" s="47">
        <f>(D5*100/E5)%</f>
        <v/>
      </c>
      <c r="C17" s="47">
        <f>IF(B17&gt;=1,0,1-B17)</f>
        <v/>
      </c>
      <c r="D17" s="47">
        <f>(D5*100/F5)%</f>
        <v/>
      </c>
      <c r="E17" s="47">
        <f>IF(D17&gt;=1,0,1-D17)</f>
        <v/>
      </c>
    </row>
    <row r="18" ht="20" customHeight="1">
      <c r="A18" s="38" t="inlineStr">
        <is>
          <t>SFY</t>
        </is>
      </c>
      <c r="B18" s="48">
        <f>(D6*100/E6)%</f>
        <v/>
      </c>
      <c r="C18" s="48">
        <f>IF(B18&gt;=1,0,1-B18)</f>
        <v/>
      </c>
      <c r="D18" s="48">
        <f>(D6*100/F6)%</f>
        <v/>
      </c>
      <c r="E18" s="48">
        <f>IF(D18&gt;=1,0,1-D18)</f>
        <v/>
      </c>
    </row>
    <row r="19" ht="22" customHeight="1">
      <c r="A19" s="49" t="inlineStr">
        <is>
          <t>V&amp;C</t>
        </is>
      </c>
      <c r="B19" s="50">
        <f>(D7*100/E7)%</f>
        <v/>
      </c>
      <c r="C19" s="50">
        <f>IF(B19&gt;=1,0,1-B19)</f>
        <v/>
      </c>
      <c r="D19" s="50">
        <f>(D7*100/F7)%</f>
        <v/>
      </c>
      <c r="E19" s="50">
        <f>IF(D19&gt;=1,0,1-D19)</f>
        <v/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 ht="20" customHeight="1">
      <c r="B39" s="51" t="inlineStr">
        <is>
          <t>Métrica</t>
        </is>
      </c>
      <c r="C39" s="51" t="inlineStr">
        <is>
          <t>Avance</t>
        </is>
      </c>
      <c r="D39" s="51" t="inlineStr">
        <is>
          <t>Faltante</t>
        </is>
      </c>
    </row>
    <row r="40" ht="20" customHeight="1">
      <c r="B40" s="38" t="inlineStr">
        <is>
          <t>Avance MIN</t>
        </is>
      </c>
      <c r="C40" s="52">
        <f>D7/C7</f>
        <v/>
      </c>
      <c r="D40" s="52">
        <f>MAX(0, 1-C40)</f>
        <v/>
      </c>
    </row>
    <row r="41" ht="20" customHeight="1">
      <c r="B41" s="35" t="inlineStr">
        <is>
          <t>Avance MAX</t>
        </is>
      </c>
      <c r="C41" s="53">
        <f>D7/B7</f>
        <v/>
      </c>
      <c r="D41" s="53">
        <f>MAX(0, 1-C41)</f>
        <v/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3">
    <mergeCell ref="B13:C13"/>
    <mergeCell ref="A1:J1"/>
    <mergeCell ref="D13:E13"/>
  </mergeCells>
  <conditionalFormatting sqref="G3:J6">
    <cfRule type="cellIs" priority="1" operator="greaterThanOrEqual" dxfId="0" stopIfTrue="1">
      <formula>0</formula>
    </cfRule>
    <cfRule type="cellIs" priority="2" operator="lessThan" dxfId="1" stopIfTrue="1">
      <formula>0</formula>
    </cfRule>
  </conditionalFormatting>
  <conditionalFormatting sqref="G7:J7">
    <cfRule type="cellIs" priority="3" operator="greaterThanOrEqual" dxfId="2" stopIfTrue="1">
      <formula>0</formula>
    </cfRule>
    <cfRule type="cellIs" priority="4" operator="lessThan" dxfId="3" stopIfTrue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6" customWidth="1" min="4" max="4"/>
    <col width="21" customWidth="1" min="5" max="5"/>
    <col width="16" customWidth="1" min="6" max="6"/>
    <col width="16" customWidth="1" min="7" max="7"/>
    <col width="16" customWidth="1" min="8" max="8"/>
    <col width="12" customWidth="1" min="9" max="9"/>
    <col width="12" customWidth="1" min="10" max="10"/>
  </cols>
  <sheetData>
    <row r="1">
      <c r="A1" s="54" t="inlineStr">
        <is>
          <t>MIN</t>
        </is>
      </c>
      <c r="B1" s="55" t="inlineStr">
        <is>
          <t>NOMBRE</t>
        </is>
      </c>
      <c r="C1" s="55" t="inlineStr">
        <is>
          <t>MAX</t>
        </is>
      </c>
      <c r="D1" s="55" t="inlineStr">
        <is>
          <t>MIN</t>
        </is>
      </c>
      <c r="E1" s="55" t="inlineStr">
        <is>
          <t>PRO. TRA.</t>
        </is>
      </c>
      <c r="F1" s="55" t="inlineStr">
        <is>
          <t>Obj. Max</t>
        </is>
      </c>
      <c r="G1" s="55" t="inlineStr">
        <is>
          <t>Obj. Min</t>
        </is>
      </c>
      <c r="H1" s="55" t="inlineStr">
        <is>
          <t>Conseguido</t>
        </is>
      </c>
      <c r="I1" s="55" t="inlineStr">
        <is>
          <t>% Max</t>
        </is>
      </c>
      <c r="J1" s="55" t="inlineStr">
        <is>
          <t>% Min</t>
        </is>
      </c>
    </row>
    <row r="2">
      <c r="A2" s="56" t="n"/>
      <c r="B2" s="57" t="inlineStr">
        <is>
          <t>Ana Claudia Carbonel Gomero</t>
        </is>
      </c>
      <c r="C2" s="58">
        <f>Objetivos!B3</f>
        <v/>
      </c>
      <c r="D2" s="58">
        <f>Objetivos!C3</f>
        <v/>
      </c>
      <c r="E2" s="59" t="n">
        <v>0.3333333333333333</v>
      </c>
      <c r="F2" s="60">
        <f>C$2*E2</f>
        <v/>
      </c>
      <c r="G2" s="60">
        <f>D$2*E2</f>
        <v/>
      </c>
      <c r="H2" s="60">
        <f>SUMIF(MIN!L:L,"Claudia",MIN!I:I)+SUMIF(MIN!L:L,"Claudia",MIN!K:K)</f>
        <v/>
      </c>
      <c r="I2" s="61">
        <f>IF(F2&gt;0,H2/F2,0)</f>
        <v/>
      </c>
      <c r="J2" s="61">
        <f>IF(G2&gt;0,H2/G2,0)</f>
        <v/>
      </c>
    </row>
    <row r="3">
      <c r="A3" s="56" t="n"/>
      <c r="B3" s="62" t="inlineStr">
        <is>
          <t>Luisa Oncebay Delgado</t>
        </is>
      </c>
      <c r="C3" s="56" t="n"/>
      <c r="D3" s="56" t="n"/>
      <c r="E3" s="63" t="n">
        <v>0.3333333333333333</v>
      </c>
      <c r="F3" s="64">
        <f>C$2*E3</f>
        <v/>
      </c>
      <c r="G3" s="64">
        <f>D$2*E3</f>
        <v/>
      </c>
      <c r="H3" s="64">
        <f>SUMIF(MIN!L:L,"Luisa",MIN!I:I)+SUMIF(MIN!L:L,"Luisa",MIN!K:K)</f>
        <v/>
      </c>
      <c r="I3" s="65">
        <f>IF(F3&gt;0,H3/F3,0)</f>
        <v/>
      </c>
      <c r="J3" s="65">
        <f>IF(G3&gt;0,H3/G3,0)</f>
        <v/>
      </c>
    </row>
    <row r="4">
      <c r="A4" s="56" t="n"/>
      <c r="B4" s="57" t="inlineStr">
        <is>
          <t>Pedro Eduardo Bonilla Cornejo</t>
        </is>
      </c>
      <c r="C4" s="66" t="n"/>
      <c r="D4" s="66" t="n"/>
      <c r="E4" s="59" t="n">
        <v>0.3333333333333333</v>
      </c>
      <c r="F4" s="60">
        <f>C$2*E4</f>
        <v/>
      </c>
      <c r="G4" s="60">
        <f>D$2*E4</f>
        <v/>
      </c>
      <c r="H4" s="60">
        <f>SUMIF(MIN!L:L,"Eduardo",MIN!I:I)+SUMIF(MIN!L:L,"Eduardo",MIN!K:K)</f>
        <v/>
      </c>
      <c r="I4" s="61">
        <f>IF(F4&gt;0,H4/F4,0)</f>
        <v/>
      </c>
      <c r="J4" s="61">
        <f>IF(G4&gt;0,H4/G4,0)</f>
        <v/>
      </c>
    </row>
    <row r="5">
      <c r="A5" s="66" t="n"/>
      <c r="B5" s="67" t="inlineStr">
        <is>
          <t>TOTAL</t>
        </is>
      </c>
      <c r="C5" s="68" t="n"/>
      <c r="D5" s="68" t="n"/>
      <c r="E5" s="69">
        <f>SUM(E2:E4)</f>
        <v/>
      </c>
      <c r="F5" s="70">
        <f>SUM(F2:F4)</f>
        <v/>
      </c>
      <c r="G5" s="70">
        <f>SUM(G2:G4)</f>
        <v/>
      </c>
      <c r="H5" s="70">
        <f>SUM(H2:H4)</f>
        <v/>
      </c>
      <c r="I5" s="71">
        <f>IF(F5&gt;0,H5/F5,0)</f>
        <v/>
      </c>
      <c r="J5" s="71">
        <f>IF(G5&gt;0,H5/G5,0)</f>
        <v/>
      </c>
    </row>
    <row r="6"/>
    <row r="7"/>
    <row r="8">
      <c r="A8" s="54" t="inlineStr">
        <is>
          <t>IND</t>
        </is>
      </c>
      <c r="B8" s="55" t="inlineStr">
        <is>
          <t>NOMBRE</t>
        </is>
      </c>
      <c r="C8" s="55" t="inlineStr">
        <is>
          <t>MAX</t>
        </is>
      </c>
      <c r="D8" s="55" t="inlineStr">
        <is>
          <t>MIN</t>
        </is>
      </c>
      <c r="E8" s="55" t="inlineStr">
        <is>
          <t>PRO. TRA.</t>
        </is>
      </c>
      <c r="F8" s="55" t="inlineStr">
        <is>
          <t>Obj. Max</t>
        </is>
      </c>
      <c r="G8" s="55" t="inlineStr">
        <is>
          <t>Obj. Min</t>
        </is>
      </c>
      <c r="H8" s="55" t="inlineStr">
        <is>
          <t>Conseguido</t>
        </is>
      </c>
      <c r="I8" s="55" t="inlineStr">
        <is>
          <t>% Max</t>
        </is>
      </c>
      <c r="J8" s="55" t="inlineStr">
        <is>
          <t>% Min</t>
        </is>
      </c>
    </row>
    <row r="9">
      <c r="A9" s="56" t="n"/>
      <c r="B9" s="57" t="inlineStr">
        <is>
          <t>Ana Claudia Carbonel Gomero</t>
        </is>
      </c>
      <c r="C9" s="58">
        <f>Objetivos!B4</f>
        <v/>
      </c>
      <c r="D9" s="58">
        <f>Objetivos!C4</f>
        <v/>
      </c>
      <c r="E9" s="59" t="n">
        <v>0.3333333333333333</v>
      </c>
      <c r="F9" s="60">
        <f>C$9*E9</f>
        <v/>
      </c>
      <c r="G9" s="60">
        <f>D$9*E9</f>
        <v/>
      </c>
      <c r="H9" s="60">
        <f>SUMIF(IND!L:L,"Claudia",IND!I:I)+SUMIF(IND!L:L,"Claudia",IND!K:K)</f>
        <v/>
      </c>
      <c r="I9" s="61">
        <f>IF(F9&gt;0,H9/F9,0)</f>
        <v/>
      </c>
      <c r="J9" s="61">
        <f>IF(G9&gt;0,H9/G9,0)</f>
        <v/>
      </c>
    </row>
    <row r="10">
      <c r="A10" s="56" t="n"/>
      <c r="B10" s="62" t="inlineStr">
        <is>
          <t>Luisa Oncebay Delgado</t>
        </is>
      </c>
      <c r="C10" s="56" t="n"/>
      <c r="D10" s="56" t="n"/>
      <c r="E10" s="63" t="n">
        <v>0.3333333333333333</v>
      </c>
      <c r="F10" s="64">
        <f>C$9*E10</f>
        <v/>
      </c>
      <c r="G10" s="64">
        <f>D$9*E10</f>
        <v/>
      </c>
      <c r="H10" s="64">
        <f>SUMIF(IND!L:L,"Luisa",IND!I:I)+SUMIF(IND!L:L,"Luisa",IND!K:K)</f>
        <v/>
      </c>
      <c r="I10" s="65">
        <f>IF(F10&gt;0,H10/F10,0)</f>
        <v/>
      </c>
      <c r="J10" s="65">
        <f>IF(G10&gt;0,H10/G10,0)</f>
        <v/>
      </c>
    </row>
    <row r="11">
      <c r="A11" s="56" t="n"/>
      <c r="B11" s="57" t="inlineStr">
        <is>
          <t>Pedro Eduardo Bonilla Cornejo</t>
        </is>
      </c>
      <c r="C11" s="66" t="n"/>
      <c r="D11" s="66" t="n"/>
      <c r="E11" s="59" t="n">
        <v>0.3333333333333333</v>
      </c>
      <c r="F11" s="60">
        <f>C$9*E11</f>
        <v/>
      </c>
      <c r="G11" s="60">
        <f>D$9*E11</f>
        <v/>
      </c>
      <c r="H11" s="60">
        <f>SUMIF(IND!L:L,"Eduardo",IND!I:I)+SUMIF(IND!L:L,"Eduardo",IND!K:K)</f>
        <v/>
      </c>
      <c r="I11" s="61">
        <f>IF(F11&gt;0,H11/F11,0)</f>
        <v/>
      </c>
      <c r="J11" s="61">
        <f>IF(G11&gt;0,H11/G11,0)</f>
        <v/>
      </c>
    </row>
    <row r="12">
      <c r="A12" s="66" t="n"/>
      <c r="B12" s="67" t="inlineStr">
        <is>
          <t>TOTAL</t>
        </is>
      </c>
      <c r="C12" s="68" t="n"/>
      <c r="D12" s="68" t="n"/>
      <c r="E12" s="69">
        <f>SUM(E9:E11)</f>
        <v/>
      </c>
      <c r="F12" s="70">
        <f>SUM(F9:F11)</f>
        <v/>
      </c>
      <c r="G12" s="70">
        <f>SUM(G9:G11)</f>
        <v/>
      </c>
      <c r="H12" s="70">
        <f>SUM(H9:H11)</f>
        <v/>
      </c>
      <c r="I12" s="71">
        <f>IF(F12&gt;0,H12/F12,0)</f>
        <v/>
      </c>
      <c r="J12" s="71">
        <f>IF(G12&gt;0,H12/G12,0)</f>
        <v/>
      </c>
    </row>
    <row r="13"/>
    <row r="14"/>
    <row r="15">
      <c r="A15" s="54" t="inlineStr">
        <is>
          <t>OIL</t>
        </is>
      </c>
      <c r="B15" s="55" t="inlineStr">
        <is>
          <t>NOMBRE</t>
        </is>
      </c>
      <c r="C15" s="55" t="inlineStr">
        <is>
          <t>MAX</t>
        </is>
      </c>
      <c r="D15" s="55" t="inlineStr">
        <is>
          <t>MIN</t>
        </is>
      </c>
      <c r="E15" s="55" t="inlineStr">
        <is>
          <t>PRO. TRA.</t>
        </is>
      </c>
      <c r="F15" s="55" t="inlineStr">
        <is>
          <t>Obj. Max</t>
        </is>
      </c>
      <c r="G15" s="55" t="inlineStr">
        <is>
          <t>Obj. Min</t>
        </is>
      </c>
      <c r="H15" s="55" t="inlineStr">
        <is>
          <t>Conseguido</t>
        </is>
      </c>
      <c r="I15" s="55" t="inlineStr">
        <is>
          <t>% Max</t>
        </is>
      </c>
      <c r="J15" s="55" t="inlineStr">
        <is>
          <t>% Min</t>
        </is>
      </c>
    </row>
    <row r="16">
      <c r="A16" s="56" t="n"/>
      <c r="B16" s="57" t="inlineStr">
        <is>
          <t>Ana Claudia Carbonel Gomero</t>
        </is>
      </c>
      <c r="C16" s="58">
        <f>Objetivos!B5</f>
        <v/>
      </c>
      <c r="D16" s="58">
        <f>Objetivos!C5</f>
        <v/>
      </c>
      <c r="E16" s="59" t="n">
        <v>0.3333333333333333</v>
      </c>
      <c r="F16" s="60">
        <f>C$16*E16</f>
        <v/>
      </c>
      <c r="G16" s="60">
        <f>D$16*E16</f>
        <v/>
      </c>
      <c r="H16" s="60">
        <f>SUMIF(OIL!L:L,"Claudia",OIL!I:I)+SUMIF(OIL!L:L,"Claudia",OIL!K:K)</f>
        <v/>
      </c>
      <c r="I16" s="61">
        <f>IF(F16&gt;0,H16/F16,0)</f>
        <v/>
      </c>
      <c r="J16" s="61">
        <f>IF(G16&gt;0,H16/G16,0)</f>
        <v/>
      </c>
    </row>
    <row r="17">
      <c r="A17" s="56" t="n"/>
      <c r="B17" s="62" t="inlineStr">
        <is>
          <t>Luisa Oncebay Delgado</t>
        </is>
      </c>
      <c r="C17" s="56" t="n"/>
      <c r="D17" s="56" t="n"/>
      <c r="E17" s="63" t="n">
        <v>0.3333333333333333</v>
      </c>
      <c r="F17" s="64">
        <f>C$16*E17</f>
        <v/>
      </c>
      <c r="G17" s="64">
        <f>D$16*E17</f>
        <v/>
      </c>
      <c r="H17" s="64">
        <f>SUMIF(OIL!L:L,"Luisa",OIL!I:I)+SUMIF(OIL!L:L,"Luisa",OIL!K:K)</f>
        <v/>
      </c>
      <c r="I17" s="65">
        <f>IF(F17&gt;0,H17/F17,0)</f>
        <v/>
      </c>
      <c r="J17" s="65">
        <f>IF(G17&gt;0,H17/G17,0)</f>
        <v/>
      </c>
    </row>
    <row r="18">
      <c r="A18" s="56" t="n"/>
      <c r="B18" s="57" t="inlineStr">
        <is>
          <t>Pedro Eduardo Bonilla Cornejo</t>
        </is>
      </c>
      <c r="C18" s="66" t="n"/>
      <c r="D18" s="66" t="n"/>
      <c r="E18" s="59" t="n">
        <v>0.3333333333333333</v>
      </c>
      <c r="F18" s="60">
        <f>C$16*E18</f>
        <v/>
      </c>
      <c r="G18" s="60">
        <f>D$16*E18</f>
        <v/>
      </c>
      <c r="H18" s="60">
        <f>SUMIF(OIL!L:L,"Eduardo",OIL!I:I)+SUMIF(OIL!L:L,"Eduardo",OIL!K:K)</f>
        <v/>
      </c>
      <c r="I18" s="61">
        <f>IF(F18&gt;0,H18/F18,0)</f>
        <v/>
      </c>
      <c r="J18" s="61">
        <f>IF(G18&gt;0,H18/G18,0)</f>
        <v/>
      </c>
    </row>
    <row r="19">
      <c r="A19" s="66" t="n"/>
      <c r="B19" s="67" t="inlineStr">
        <is>
          <t>TOTAL</t>
        </is>
      </c>
      <c r="C19" s="68" t="n"/>
      <c r="D19" s="68" t="n"/>
      <c r="E19" s="69">
        <f>SUM(E16:E18)</f>
        <v/>
      </c>
      <c r="F19" s="70">
        <f>SUM(F16:F18)</f>
        <v/>
      </c>
      <c r="G19" s="70">
        <f>SUM(G16:G18)</f>
        <v/>
      </c>
      <c r="H19" s="70">
        <f>SUM(H16:H18)</f>
        <v/>
      </c>
      <c r="I19" s="71">
        <f>IF(F19&gt;0,H19/F19,0)</f>
        <v/>
      </c>
      <c r="J19" s="71">
        <f>IF(G19&gt;0,H19/G19,0)</f>
        <v/>
      </c>
    </row>
    <row r="20"/>
    <row r="21"/>
    <row r="22">
      <c r="A22" s="54" t="inlineStr">
        <is>
          <t>SFY</t>
        </is>
      </c>
      <c r="B22" s="55" t="inlineStr">
        <is>
          <t>NOMBRE</t>
        </is>
      </c>
      <c r="C22" s="55" t="inlineStr">
        <is>
          <t>MAX</t>
        </is>
      </c>
      <c r="D22" s="55" t="inlineStr">
        <is>
          <t>MIN</t>
        </is>
      </c>
      <c r="E22" s="55" t="inlineStr">
        <is>
          <t>PRO. TRA.</t>
        </is>
      </c>
      <c r="F22" s="55" t="inlineStr">
        <is>
          <t>Obj. Max</t>
        </is>
      </c>
      <c r="G22" s="55" t="inlineStr">
        <is>
          <t>Obj. Min</t>
        </is>
      </c>
      <c r="H22" s="55" t="inlineStr">
        <is>
          <t>Conseguido</t>
        </is>
      </c>
      <c r="I22" s="55" t="inlineStr">
        <is>
          <t>% Max</t>
        </is>
      </c>
      <c r="J22" s="55" t="inlineStr">
        <is>
          <t>% Min</t>
        </is>
      </c>
    </row>
    <row r="23">
      <c r="A23" s="56" t="n"/>
      <c r="B23" s="57" t="inlineStr">
        <is>
          <t>Ana Claudia Carbonel Gomero</t>
        </is>
      </c>
      <c r="C23" s="58">
        <f>Objetivos!B6</f>
        <v/>
      </c>
      <c r="D23" s="58">
        <f>Objetivos!C6</f>
        <v/>
      </c>
      <c r="E23" s="59" t="n">
        <v>0.3333333333333333</v>
      </c>
      <c r="F23" s="60">
        <f>C$23*E23</f>
        <v/>
      </c>
      <c r="G23" s="60">
        <f>D$23*E23</f>
        <v/>
      </c>
      <c r="H23" s="60">
        <f>SUMIF(SFY!L:L,"Claudia",SFY!I:I)+SUMIF(SFY!L:L,"Claudia",SFY!K:K)</f>
        <v/>
      </c>
      <c r="I23" s="61">
        <f>IF(F23&gt;0,H23/F23,0)</f>
        <v/>
      </c>
      <c r="J23" s="61">
        <f>IF(G23&gt;0,H23/G23,0)</f>
        <v/>
      </c>
    </row>
    <row r="24">
      <c r="A24" s="56" t="n"/>
      <c r="B24" s="62" t="inlineStr">
        <is>
          <t>Luisa Oncebay Delgado</t>
        </is>
      </c>
      <c r="C24" s="56" t="n"/>
      <c r="D24" s="56" t="n"/>
      <c r="E24" s="63" t="n">
        <v>0.3333333333333333</v>
      </c>
      <c r="F24" s="64">
        <f>C$23*E24</f>
        <v/>
      </c>
      <c r="G24" s="64">
        <f>D$23*E24</f>
        <v/>
      </c>
      <c r="H24" s="64">
        <f>SUMIF(SFY!L:L,"Luisa",SFY!I:I)+SUMIF(SFY!L:L,"Luisa",SFY!K:K)</f>
        <v/>
      </c>
      <c r="I24" s="65">
        <f>IF(F24&gt;0,H24/F24,0)</f>
        <v/>
      </c>
      <c r="J24" s="65">
        <f>IF(G24&gt;0,H24/G24,0)</f>
        <v/>
      </c>
    </row>
    <row r="25">
      <c r="A25" s="56" t="n"/>
      <c r="B25" s="57" t="inlineStr">
        <is>
          <t>Pedro Eduardo Bonilla Cornejo</t>
        </is>
      </c>
      <c r="C25" s="66" t="n"/>
      <c r="D25" s="66" t="n"/>
      <c r="E25" s="59" t="n">
        <v>0.3333333333333333</v>
      </c>
      <c r="F25" s="60">
        <f>C$23*E25</f>
        <v/>
      </c>
      <c r="G25" s="60">
        <f>D$23*E25</f>
        <v/>
      </c>
      <c r="H25" s="60">
        <f>SUMIF(SFY!L:L,"Eduardo",SFY!I:I)+SUMIF(SFY!L:L,"Eduardo",SFY!K:K)</f>
        <v/>
      </c>
      <c r="I25" s="61">
        <f>IF(F25&gt;0,H25/F25,0)</f>
        <v/>
      </c>
      <c r="J25" s="61">
        <f>IF(G25&gt;0,H25/G25,0)</f>
        <v/>
      </c>
    </row>
    <row r="26">
      <c r="A26" s="66" t="n"/>
      <c r="B26" s="67" t="inlineStr">
        <is>
          <t>TOTAL</t>
        </is>
      </c>
      <c r="C26" s="68" t="n"/>
      <c r="D26" s="68" t="n"/>
      <c r="E26" s="69">
        <f>SUM(E23:E25)</f>
        <v/>
      </c>
      <c r="F26" s="70">
        <f>SUM(F23:F25)</f>
        <v/>
      </c>
      <c r="G26" s="70">
        <f>SUM(G23:G25)</f>
        <v/>
      </c>
      <c r="H26" s="70">
        <f>SUM(H23:H25)</f>
        <v/>
      </c>
      <c r="I26" s="71">
        <f>IF(F26&gt;0,H26/F26,0)</f>
        <v/>
      </c>
      <c r="J26" s="71">
        <f>IF(G26&gt;0,H26/G26,0)</f>
        <v/>
      </c>
    </row>
    <row r="27"/>
    <row r="28"/>
    <row r="29">
      <c r="B29" s="55" t="inlineStr">
        <is>
          <t>Area</t>
        </is>
      </c>
      <c r="C29" s="55" t="inlineStr">
        <is>
          <t>Cuota Comercial</t>
        </is>
      </c>
      <c r="D29" s="55" t="inlineStr">
        <is>
          <t>Conseguido</t>
        </is>
      </c>
      <c r="E29" s="55" t="inlineStr">
        <is>
          <t>%</t>
        </is>
      </c>
    </row>
    <row r="30">
      <c r="B30" s="57" t="inlineStr">
        <is>
          <t>Minería</t>
        </is>
      </c>
      <c r="C30" s="60">
        <f>C2</f>
        <v/>
      </c>
      <c r="D30" s="60">
        <f>SUM(H2:H4)</f>
        <v/>
      </c>
      <c r="E30" s="61">
        <f>IF(C30&gt;0,D30/C30,0)</f>
        <v/>
      </c>
    </row>
    <row r="31">
      <c r="B31" s="62" t="inlineStr">
        <is>
          <t>Industria</t>
        </is>
      </c>
      <c r="C31" s="64">
        <f>C9</f>
        <v/>
      </c>
      <c r="D31" s="64">
        <f>SUM(H9:H11)</f>
        <v/>
      </c>
      <c r="E31" s="65">
        <f>IF(C31&gt;0,D31/C31,0)</f>
        <v/>
      </c>
    </row>
    <row r="32">
      <c r="B32" s="57" t="inlineStr">
        <is>
          <t>Petroquímica</t>
        </is>
      </c>
      <c r="C32" s="60">
        <f>C16</f>
        <v/>
      </c>
      <c r="D32" s="60">
        <f>SUM(H16:H18)</f>
        <v/>
      </c>
      <c r="E32" s="61">
        <f>IF(C32&gt;0,D32/C32,0)</f>
        <v/>
      </c>
    </row>
    <row r="33">
      <c r="B33" s="62" t="inlineStr">
        <is>
          <t>Safety</t>
        </is>
      </c>
      <c r="C33" s="64">
        <f>C23</f>
        <v/>
      </c>
      <c r="D33" s="64">
        <f>SUM(H23:H25)</f>
        <v/>
      </c>
      <c r="E33" s="65">
        <f>IF(C33&gt;0,D33/C33,0)</f>
        <v/>
      </c>
    </row>
    <row r="34">
      <c r="B34" s="72" t="inlineStr">
        <is>
          <t>Total</t>
        </is>
      </c>
      <c r="C34" s="73">
        <f>SUM(C30:C33)</f>
        <v/>
      </c>
      <c r="D34" s="73">
        <f>SUM(D30:D33)</f>
        <v/>
      </c>
      <c r="E34" s="74">
        <f>IF(C34&gt;0,D34/C34,0)</f>
        <v/>
      </c>
    </row>
    <row r="35"/>
    <row r="36"/>
    <row r="37">
      <c r="B37" s="55" t="inlineStr">
        <is>
          <t>Nombre Vendedor</t>
        </is>
      </c>
      <c r="C37" s="55" t="inlineStr">
        <is>
          <t>Conseguido</t>
        </is>
      </c>
    </row>
    <row r="38">
      <c r="B38" s="57" t="inlineStr">
        <is>
          <t>Ana Claudia Carbonel Gomero</t>
        </is>
      </c>
      <c r="C38" s="60">
        <f>H2+H9+H16+H23</f>
        <v/>
      </c>
    </row>
    <row r="39">
      <c r="B39" s="62" t="inlineStr">
        <is>
          <t>Luisa Oncebay Delgado</t>
        </is>
      </c>
      <c r="C39" s="64">
        <f>H3+H10+H17+H24</f>
        <v/>
      </c>
    </row>
    <row r="40">
      <c r="B40" s="57" t="inlineStr">
        <is>
          <t>Pedro Eduardo Bonilla Cornejo</t>
        </is>
      </c>
      <c r="C40" s="60">
        <f>H4+H11+H18+H25</f>
        <v/>
      </c>
    </row>
    <row r="41">
      <c r="B41" s="72" t="inlineStr">
        <is>
          <t>Total</t>
        </is>
      </c>
      <c r="C41" s="73">
        <f>SUM(C38:C40)</f>
        <v/>
      </c>
    </row>
  </sheetData>
  <mergeCells count="12">
    <mergeCell ref="A22:A26"/>
    <mergeCell ref="D23:D25"/>
    <mergeCell ref="A15:A19"/>
    <mergeCell ref="C2:C4"/>
    <mergeCell ref="A8:A12"/>
    <mergeCell ref="C16:C18"/>
    <mergeCell ref="D16:D18"/>
    <mergeCell ref="C23:C25"/>
    <mergeCell ref="A1:A5"/>
    <mergeCell ref="D2:D4"/>
    <mergeCell ref="C9:C11"/>
    <mergeCell ref="D9:D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2026-08-11T23:44:27Z</dcterms:created>
  <dcterms:modified xmlns:dcterms="http://purl.org/dc/terms/" xmlns:xsi="http://www.w3.org/2001/XMLSchema-instance" xsi:type="dcterms:W3CDTF">2026-08-11T23:44:29Z</dcterms:modified>
</cp:coreProperties>
</file>