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drawings/drawing7.xml" ContentType="application/vnd.openxmlformats-officedocument.drawingml.chartshapes+xml"/>
  <Override PartName="/xl/charts/chart30.xml" ContentType="application/vnd.openxmlformats-officedocument.drawingml.chart+xml"/>
  <Override PartName="/xl/drawings/drawing8.xml" ContentType="application/vnd.openxmlformats-officedocument.drawingml.chartshapes+xml"/>
  <Override PartName="/xl/charts/chart3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ml.chartshapes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34.xml" ContentType="application/vnd.openxmlformats-officedocument.drawingml.chart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3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47.19.241\30 Comercial\Ordenes de Compra\2026\"/>
    </mc:Choice>
  </mc:AlternateContent>
  <bookViews>
    <workbookView xWindow="0" yWindow="0" windowWidth="20490" windowHeight="6930" activeTab="2"/>
  </bookViews>
  <sheets>
    <sheet name="MIN" sheetId="2" r:id="rId1"/>
    <sheet name="OIL" sheetId="3" r:id="rId2"/>
    <sheet name="IND" sheetId="4" r:id="rId3"/>
    <sheet name="SFY" sheetId="6" r:id="rId4"/>
    <sheet name=" 2011-2026" sheetId="7" r:id="rId5"/>
    <sheet name="Objetivos" sheetId="10" r:id="rId6"/>
    <sheet name="Objetivos Com." sheetId="12" r:id="rId7"/>
    <sheet name="Admin y Com" sheetId="13" r:id="rId8"/>
  </sheets>
  <definedNames>
    <definedName name="_xlnm._FilterDatabase" localSheetId="2" hidden="1">IND!$A$2:$L$73</definedName>
    <definedName name="_xlnm._FilterDatabase" localSheetId="0" hidden="1">MIN!$A$2:$L$204</definedName>
    <definedName name="_xlnm._FilterDatabase" localSheetId="1" hidden="1">OIL!$A$2:$L$53</definedName>
    <definedName name="_xlnm._FilterDatabase" localSheetId="3" hidden="1">SFY!$N$32:$R$71</definedName>
    <definedName name="_xlnm.Print_Area" localSheetId="4">' 2011-2026'!$A$1:$Z$258</definedName>
    <definedName name="_xlnm.Print_Area" localSheetId="5">Objetivos!$A$1:$J$6</definedName>
    <definedName name="_xlnm.Print_Area" localSheetId="1">OIL!$A$2:$G$7</definedName>
    <definedName name="_xlnm.Print_Area" localSheetId="3">SFY!$A$1:$G$2</definedName>
  </definedNames>
  <calcPr calcId="162913"/>
</workbook>
</file>

<file path=xl/calcChain.xml><?xml version="1.0" encoding="utf-8"?>
<calcChain xmlns="http://schemas.openxmlformats.org/spreadsheetml/2006/main">
  <c r="F5" i="10" l="1"/>
  <c r="F4" i="10"/>
  <c r="F3" i="10"/>
  <c r="F2" i="10"/>
  <c r="E5" i="10"/>
  <c r="E4" i="10"/>
  <c r="E3" i="10"/>
  <c r="E2" i="10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60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21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84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39" i="7"/>
  <c r="H15" i="4" l="1"/>
  <c r="H31" i="2" l="1"/>
  <c r="H14" i="4" l="1"/>
  <c r="H30" i="2" l="1"/>
  <c r="H28" i="2" l="1"/>
  <c r="I28" i="2"/>
  <c r="H27" i="2" l="1"/>
  <c r="H18" i="2" l="1"/>
  <c r="H17" i="2" l="1"/>
  <c r="H10" i="4" l="1"/>
  <c r="H9" i="2" l="1"/>
  <c r="N5" i="2" l="1"/>
  <c r="H5" i="4" l="1"/>
  <c r="H3" i="3" l="1"/>
  <c r="H3" i="2" l="1"/>
  <c r="P209" i="7" l="1"/>
  <c r="P208" i="7"/>
  <c r="P207" i="7"/>
  <c r="P206" i="7"/>
  <c r="P205" i="7"/>
  <c r="P204" i="7"/>
  <c r="P203" i="7"/>
  <c r="P202" i="7"/>
  <c r="P201" i="7"/>
  <c r="P200" i="7"/>
  <c r="P199" i="7"/>
  <c r="P198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N4" i="6" l="1"/>
  <c r="P2" i="3" l="1"/>
  <c r="P2" i="2"/>
  <c r="M210" i="7" l="1"/>
  <c r="L210" i="7"/>
  <c r="P7" i="3"/>
  <c r="N8" i="3"/>
  <c r="P12" i="2"/>
  <c r="P11" i="2"/>
  <c r="N6" i="2"/>
  <c r="N11" i="2"/>
  <c r="P6" i="6" l="1"/>
  <c r="P20" i="2"/>
  <c r="N17" i="2"/>
  <c r="P19" i="2"/>
  <c r="N18" i="2"/>
  <c r="O34" i="2" l="1"/>
  <c r="Q10" i="4" l="1"/>
  <c r="N11" i="4"/>
  <c r="P15" i="2" l="1"/>
  <c r="P14" i="2"/>
  <c r="P13" i="2"/>
  <c r="N14" i="2"/>
  <c r="Q9" i="4" l="1"/>
  <c r="N10" i="4"/>
  <c r="Q6" i="4"/>
  <c r="N6" i="4"/>
  <c r="G17" i="10" l="1"/>
  <c r="O32" i="2"/>
  <c r="O39" i="2" s="1"/>
  <c r="P4" i="6" l="1"/>
  <c r="N5" i="6"/>
  <c r="P5" i="6"/>
  <c r="N6" i="6"/>
  <c r="P6" i="2" l="1"/>
  <c r="N4" i="2"/>
  <c r="N210" i="7" l="1"/>
  <c r="P8" i="3"/>
  <c r="N4" i="3"/>
  <c r="N22" i="3"/>
  <c r="P22" i="2" l="1"/>
  <c r="N21" i="2"/>
  <c r="P17" i="2" l="1"/>
  <c r="N19" i="2"/>
  <c r="Q14" i="4" l="1"/>
  <c r="P9" i="6" l="1"/>
  <c r="N8" i="6"/>
  <c r="P8" i="6"/>
  <c r="N9" i="6"/>
  <c r="Q13" i="4"/>
  <c r="N17" i="4"/>
  <c r="Q11" i="4"/>
  <c r="N9" i="4"/>
  <c r="Q8" i="4"/>
  <c r="N7" i="4"/>
  <c r="Q15" i="4"/>
  <c r="N13" i="4"/>
  <c r="P11" i="3"/>
  <c r="N11" i="3"/>
  <c r="P4" i="3"/>
  <c r="N5" i="3"/>
  <c r="P18" i="2"/>
  <c r="N13" i="2"/>
  <c r="P21" i="2"/>
  <c r="N24" i="2"/>
  <c r="N15" i="2"/>
  <c r="P7" i="2"/>
  <c r="N10" i="2"/>
  <c r="P10" i="2"/>
  <c r="N9" i="2"/>
  <c r="P24" i="2" l="1"/>
  <c r="N22" i="2"/>
  <c r="P23" i="2" l="1"/>
  <c r="N23" i="2"/>
  <c r="P6" i="3" l="1"/>
  <c r="N6" i="3"/>
  <c r="P2" i="6" l="1"/>
  <c r="Q2" i="4"/>
  <c r="C2" i="7" s="1"/>
  <c r="N2" i="2" l="1"/>
  <c r="P11" i="6" l="1"/>
  <c r="N10" i="6"/>
  <c r="N15" i="4"/>
  <c r="P10" i="6" l="1"/>
  <c r="N11" i="6"/>
  <c r="Q17" i="4"/>
  <c r="N16" i="4"/>
  <c r="E54" i="13" l="1"/>
  <c r="D54" i="13"/>
  <c r="E26" i="13" l="1"/>
  <c r="E27" i="13" s="1"/>
  <c r="K4" i="13" l="1"/>
  <c r="K5" i="13"/>
  <c r="K6" i="13"/>
  <c r="K7" i="13"/>
  <c r="K8" i="13"/>
  <c r="K9" i="13"/>
  <c r="K10" i="13"/>
  <c r="K11" i="13"/>
  <c r="K12" i="13"/>
  <c r="K13" i="13"/>
  <c r="K14" i="13"/>
  <c r="K3" i="13"/>
  <c r="G15" i="13"/>
  <c r="H15" i="13"/>
  <c r="I15" i="13"/>
  <c r="J15" i="13"/>
  <c r="K15" i="13" l="1"/>
  <c r="C25" i="13" s="1"/>
  <c r="E10" i="13"/>
  <c r="E9" i="13"/>
  <c r="E8" i="13"/>
  <c r="E7" i="13"/>
  <c r="E6" i="13"/>
  <c r="E5" i="13"/>
  <c r="E4" i="13"/>
  <c r="E3" i="13"/>
  <c r="D10" i="13"/>
  <c r="D9" i="13"/>
  <c r="D8" i="13"/>
  <c r="D7" i="13"/>
  <c r="D6" i="13"/>
  <c r="D5" i="13"/>
  <c r="D4" i="13"/>
  <c r="D3" i="13"/>
  <c r="C10" i="13"/>
  <c r="C9" i="13"/>
  <c r="C8" i="13"/>
  <c r="C7" i="13"/>
  <c r="C6" i="13"/>
  <c r="C5" i="13"/>
  <c r="C4" i="13"/>
  <c r="B9" i="13"/>
  <c r="B8" i="13"/>
  <c r="B7" i="13"/>
  <c r="B6" i="13"/>
  <c r="B5" i="13"/>
  <c r="B4" i="13"/>
  <c r="C3" i="13"/>
  <c r="F9" i="13" l="1"/>
  <c r="F7" i="13"/>
  <c r="F5" i="13"/>
  <c r="F4" i="13"/>
  <c r="F6" i="13"/>
  <c r="F8" i="13"/>
  <c r="P21" i="3" l="1"/>
  <c r="N13" i="3"/>
  <c r="N16" i="2" l="1"/>
  <c r="C61" i="10" l="1"/>
  <c r="P16" i="2" l="1"/>
  <c r="N20" i="2"/>
  <c r="E14" i="13" l="1"/>
  <c r="E13" i="13"/>
  <c r="E12" i="13"/>
  <c r="E11" i="13"/>
  <c r="D14" i="13"/>
  <c r="D13" i="13"/>
  <c r="D12" i="13"/>
  <c r="D11" i="13"/>
  <c r="C14" i="13"/>
  <c r="C13" i="13"/>
  <c r="C12" i="13"/>
  <c r="C11" i="13"/>
  <c r="B14" i="13"/>
  <c r="B13" i="13"/>
  <c r="B12" i="13"/>
  <c r="B11" i="13"/>
  <c r="B10" i="13"/>
  <c r="B3" i="13"/>
  <c r="F3" i="13" s="1"/>
  <c r="C15" i="13" l="1"/>
  <c r="F14" i="13"/>
  <c r="E15" i="13"/>
  <c r="F13" i="13"/>
  <c r="D15" i="13"/>
  <c r="F12" i="13"/>
  <c r="F11" i="13"/>
  <c r="F18" i="13"/>
  <c r="F10" i="13"/>
  <c r="B15" i="13"/>
  <c r="F15" i="13" l="1"/>
  <c r="C26" i="13" s="1"/>
  <c r="H33" i="12"/>
  <c r="E34" i="12"/>
  <c r="G33" i="12"/>
  <c r="F33" i="12"/>
  <c r="E7" i="12"/>
  <c r="E16" i="12"/>
  <c r="E25" i="12"/>
  <c r="H24" i="12"/>
  <c r="G24" i="12"/>
  <c r="F24" i="12"/>
  <c r="H15" i="12"/>
  <c r="G15" i="12"/>
  <c r="F15" i="12"/>
  <c r="H6" i="12"/>
  <c r="G6" i="12"/>
  <c r="F6" i="12"/>
  <c r="H23" i="12"/>
  <c r="H22" i="12"/>
  <c r="H21" i="12"/>
  <c r="H20" i="12"/>
  <c r="H32" i="12"/>
  <c r="H31" i="12"/>
  <c r="H30" i="12"/>
  <c r="H29" i="12"/>
  <c r="H14" i="12"/>
  <c r="H13" i="12"/>
  <c r="H12" i="12"/>
  <c r="H11" i="12"/>
  <c r="H5" i="12"/>
  <c r="H4" i="12"/>
  <c r="H3" i="12"/>
  <c r="H2" i="12"/>
  <c r="F21" i="13" l="1"/>
  <c r="D38" i="12"/>
  <c r="I33" i="12"/>
  <c r="C48" i="12"/>
  <c r="I6" i="12"/>
  <c r="J33" i="12"/>
  <c r="H34" i="12"/>
  <c r="I15" i="12"/>
  <c r="C49" i="12"/>
  <c r="H16" i="12"/>
  <c r="H7" i="12"/>
  <c r="H25" i="12"/>
  <c r="J24" i="12"/>
  <c r="I24" i="12"/>
  <c r="C47" i="12"/>
  <c r="J15" i="12"/>
  <c r="C45" i="12"/>
  <c r="C46" i="12"/>
  <c r="J6" i="12"/>
  <c r="H19" i="10"/>
  <c r="H20" i="10"/>
  <c r="H18" i="10"/>
  <c r="H17" i="10"/>
  <c r="G20" i="10"/>
  <c r="G19" i="10"/>
  <c r="G18" i="10"/>
  <c r="C50" i="12" l="1"/>
  <c r="P9" i="2" l="1"/>
  <c r="N8" i="2"/>
  <c r="N2" i="3" l="1"/>
  <c r="G9" i="7" l="1"/>
  <c r="G8" i="7"/>
  <c r="G7" i="7"/>
  <c r="P7" i="6" l="1"/>
  <c r="N7" i="6"/>
  <c r="P9" i="3" l="1"/>
  <c r="N9" i="3"/>
  <c r="N21" i="3" l="1"/>
  <c r="P20" i="3"/>
  <c r="P8" i="2" l="1"/>
  <c r="N12" i="2"/>
  <c r="P13" i="6" l="1"/>
  <c r="N13" i="6"/>
  <c r="P13" i="3" l="1"/>
  <c r="N17" i="3"/>
  <c r="G32" i="12" l="1"/>
  <c r="G31" i="12"/>
  <c r="G30" i="12"/>
  <c r="G29" i="12"/>
  <c r="F32" i="12"/>
  <c r="F31" i="12"/>
  <c r="F30" i="12"/>
  <c r="F29" i="12"/>
  <c r="F20" i="12"/>
  <c r="C41" i="12"/>
  <c r="F34" i="12" l="1"/>
  <c r="G34" i="12"/>
  <c r="D41" i="12"/>
  <c r="E41" i="12" s="1"/>
  <c r="P12" i="3" l="1"/>
  <c r="N12" i="3"/>
  <c r="I32" i="12" l="1"/>
  <c r="J31" i="12"/>
  <c r="I31" i="12"/>
  <c r="J30" i="12"/>
  <c r="I30" i="12"/>
  <c r="C38" i="12"/>
  <c r="C39" i="12"/>
  <c r="G12" i="12"/>
  <c r="G21" i="12"/>
  <c r="F21" i="12"/>
  <c r="G3" i="12"/>
  <c r="F12" i="12"/>
  <c r="F3" i="12"/>
  <c r="F4" i="12"/>
  <c r="F5" i="12"/>
  <c r="I21" i="12" l="1"/>
  <c r="I12" i="12"/>
  <c r="J3" i="12"/>
  <c r="J29" i="12"/>
  <c r="I3" i="12"/>
  <c r="J21" i="12"/>
  <c r="D39" i="12"/>
  <c r="E39" i="12" s="1"/>
  <c r="J12" i="12"/>
  <c r="I29" i="12"/>
  <c r="J32" i="12"/>
  <c r="P14" i="3"/>
  <c r="N16" i="3"/>
  <c r="P22" i="3" l="1"/>
  <c r="N20" i="3"/>
  <c r="E6" i="10" l="1"/>
  <c r="C6" i="10"/>
  <c r="B6" i="10"/>
  <c r="F6" i="10"/>
  <c r="H17" i="7" l="1"/>
  <c r="I167" i="7"/>
  <c r="P16" i="3" l="1"/>
  <c r="N14" i="3"/>
  <c r="Q18" i="4" l="1"/>
  <c r="N19" i="4"/>
  <c r="Q7" i="4" l="1"/>
  <c r="N8" i="4"/>
  <c r="Q21" i="4" l="1"/>
  <c r="P19" i="3"/>
  <c r="P210" i="7" l="1"/>
  <c r="E18" i="13" s="1"/>
  <c r="E21" i="13" s="1"/>
  <c r="P10" i="3" l="1"/>
  <c r="N10" i="3"/>
  <c r="Q16" i="4" l="1"/>
  <c r="N14" i="4"/>
  <c r="G23" i="12" l="1"/>
  <c r="F23" i="12"/>
  <c r="G22" i="12"/>
  <c r="F22" i="12"/>
  <c r="F25" i="12" s="1"/>
  <c r="G20" i="12"/>
  <c r="G14" i="12"/>
  <c r="G13" i="12"/>
  <c r="G11" i="12"/>
  <c r="G16" i="12" s="1"/>
  <c r="F14" i="12"/>
  <c r="F13" i="12"/>
  <c r="F11" i="12"/>
  <c r="F16" i="12" s="1"/>
  <c r="G5" i="12"/>
  <c r="G4" i="12"/>
  <c r="G2" i="12"/>
  <c r="F2" i="12"/>
  <c r="F7" i="12" s="1"/>
  <c r="G7" i="12" l="1"/>
  <c r="G25" i="12"/>
  <c r="J13" i="12"/>
  <c r="J22" i="12"/>
  <c r="I22" i="12"/>
  <c r="I13" i="12"/>
  <c r="I4" i="12"/>
  <c r="J4" i="12"/>
  <c r="C40" i="12" l="1"/>
  <c r="C42" i="12" s="1"/>
  <c r="D40" i="12" l="1"/>
  <c r="J23" i="12"/>
  <c r="I23" i="12"/>
  <c r="J20" i="12"/>
  <c r="I20" i="12"/>
  <c r="E40" i="12" l="1"/>
  <c r="D42" i="12"/>
  <c r="E42" i="12" s="1"/>
  <c r="J14" i="12"/>
  <c r="I11" i="12"/>
  <c r="N2" i="4"/>
  <c r="I5" i="12" l="1"/>
  <c r="E38" i="12"/>
  <c r="J2" i="12"/>
  <c r="I2" i="12"/>
  <c r="J5" i="12"/>
  <c r="J11" i="12"/>
  <c r="I14" i="12"/>
  <c r="P58" i="3" l="1"/>
  <c r="P78" i="6" l="1"/>
  <c r="O210" i="7" l="1"/>
  <c r="C18" i="13"/>
  <c r="C21" i="13" s="1"/>
  <c r="B18" i="13" l="1"/>
  <c r="B21" i="13" s="1"/>
  <c r="D18" i="13"/>
  <c r="D21" i="13" s="1"/>
  <c r="N29" i="6"/>
  <c r="O23" i="6"/>
  <c r="O19" i="6"/>
  <c r="O18" i="6"/>
  <c r="O17" i="6"/>
  <c r="O16" i="6"/>
  <c r="C5" i="7"/>
  <c r="N2" i="6"/>
  <c r="B5" i="7" s="1"/>
  <c r="P56" i="4"/>
  <c r="O36" i="4" s="1"/>
  <c r="N40" i="4"/>
  <c r="O33" i="4"/>
  <c r="O28" i="4"/>
  <c r="O27" i="4"/>
  <c r="O26" i="4"/>
  <c r="O39" i="4" s="1"/>
  <c r="N18" i="4"/>
  <c r="Q12" i="4"/>
  <c r="N20" i="4"/>
  <c r="N21" i="4"/>
  <c r="Q5" i="4"/>
  <c r="Q19" i="4"/>
  <c r="Q20" i="4"/>
  <c r="N5" i="4"/>
  <c r="N12" i="4"/>
  <c r="Q4" i="4"/>
  <c r="N4" i="4"/>
  <c r="B2" i="7"/>
  <c r="O40" i="3"/>
  <c r="N43" i="3"/>
  <c r="O31" i="3"/>
  <c r="O30" i="3"/>
  <c r="O29" i="3"/>
  <c r="P5" i="3"/>
  <c r="N7" i="3"/>
  <c r="P17" i="3"/>
  <c r="N18" i="3"/>
  <c r="P15" i="3"/>
  <c r="N15" i="3"/>
  <c r="P18" i="3"/>
  <c r="N19" i="3"/>
  <c r="C4" i="7"/>
  <c r="B4" i="7"/>
  <c r="P55" i="2"/>
  <c r="O37" i="2" s="1"/>
  <c r="N40" i="2"/>
  <c r="O33" i="2"/>
  <c r="P4" i="2"/>
  <c r="P5" i="2"/>
  <c r="N7" i="2"/>
  <c r="C3" i="7"/>
  <c r="B3" i="7"/>
  <c r="C6" i="7" l="1"/>
  <c r="I17" i="7" s="1"/>
  <c r="B6" i="7"/>
  <c r="P29" i="2"/>
  <c r="N25" i="3"/>
  <c r="P25" i="3"/>
  <c r="O42" i="3"/>
  <c r="D4" i="10" s="1"/>
  <c r="G4" i="10" s="1"/>
  <c r="O28" i="6"/>
  <c r="D5" i="10" s="1"/>
  <c r="D3" i="10"/>
  <c r="H21" i="10"/>
  <c r="G21" i="10"/>
  <c r="O28" i="3"/>
  <c r="O32" i="3" s="1"/>
  <c r="O25" i="4"/>
  <c r="O29" i="4" s="1"/>
  <c r="S42" i="4" s="1"/>
  <c r="O31" i="2"/>
  <c r="Q23" i="4"/>
  <c r="O32" i="4"/>
  <c r="O22" i="6"/>
  <c r="O24" i="6" s="1"/>
  <c r="N23" i="4"/>
  <c r="O20" i="6"/>
  <c r="F17" i="7" l="1"/>
  <c r="F52" i="13"/>
  <c r="D2" i="10"/>
  <c r="B20" i="10" s="1"/>
  <c r="L212" i="7"/>
  <c r="L214" i="7" s="1"/>
  <c r="D21" i="10"/>
  <c r="E21" i="10" s="1"/>
  <c r="F51" i="13"/>
  <c r="D23" i="10"/>
  <c r="E23" i="10" s="1"/>
  <c r="F53" i="13"/>
  <c r="D22" i="10"/>
  <c r="O35" i="2"/>
  <c r="H4" i="10"/>
  <c r="B23" i="10"/>
  <c r="C23" i="10" s="1"/>
  <c r="J5" i="10"/>
  <c r="G5" i="10"/>
  <c r="I5" i="10"/>
  <c r="H5" i="10"/>
  <c r="B21" i="10"/>
  <c r="C21" i="10" s="1"/>
  <c r="B22" i="10"/>
  <c r="G3" i="10"/>
  <c r="H3" i="10"/>
  <c r="O34" i="4"/>
  <c r="O23" i="4"/>
  <c r="I3" i="10"/>
  <c r="J3" i="10"/>
  <c r="D20" i="10" l="1"/>
  <c r="D6" i="10"/>
  <c r="F50" i="13"/>
  <c r="F54" i="13" s="1"/>
  <c r="G2" i="10"/>
  <c r="I4" i="10"/>
  <c r="J4" i="10"/>
  <c r="I2" i="10"/>
  <c r="H2" i="10"/>
  <c r="J2" i="10"/>
  <c r="B24" i="10" l="1"/>
  <c r="C24" i="10" s="1"/>
  <c r="G6" i="10"/>
  <c r="N14" i="10"/>
  <c r="G17" i="7" s="1"/>
  <c r="I6" i="10"/>
  <c r="G67" i="10"/>
  <c r="G66" i="10"/>
  <c r="D8" i="10"/>
  <c r="D9" i="10"/>
  <c r="H6" i="10"/>
  <c r="D24" i="10"/>
  <c r="E24" i="10" s="1"/>
  <c r="J6" i="10"/>
  <c r="C63" i="10" l="1"/>
  <c r="D67" i="10" s="1"/>
  <c r="C64" i="10"/>
  <c r="D71" i="10" s="1"/>
  <c r="C71" i="10" l="1"/>
  <c r="C67" i="10"/>
  <c r="N29" i="2"/>
</calcChain>
</file>

<file path=xl/sharedStrings.xml><?xml version="1.0" encoding="utf-8"?>
<sst xmlns="http://schemas.openxmlformats.org/spreadsheetml/2006/main" count="732" uniqueCount="346">
  <si>
    <t>CLIENTES</t>
  </si>
  <si>
    <t>PROYECTO</t>
  </si>
  <si>
    <t>VALOR PRESUPUESTO $</t>
  </si>
  <si>
    <t>UTILIDAD</t>
  </si>
  <si>
    <t>CÓDIGO</t>
  </si>
  <si>
    <t>FECHA O/C</t>
  </si>
  <si>
    <t>FECHA ENTREGA</t>
  </si>
  <si>
    <t xml:space="preserve">COSTO </t>
  </si>
  <si>
    <t>HH</t>
  </si>
  <si>
    <t>N° Orden</t>
  </si>
  <si>
    <t>Precisión</t>
  </si>
  <si>
    <t>Resertec</t>
  </si>
  <si>
    <t>Kimberly</t>
  </si>
  <si>
    <t>IMPREVISTOS</t>
  </si>
  <si>
    <t>Empresa</t>
  </si>
  <si>
    <t>Monto O/C</t>
  </si>
  <si>
    <t>Monto Total</t>
  </si>
  <si>
    <t>Monto total</t>
  </si>
  <si>
    <t>IND</t>
  </si>
  <si>
    <t>MIN</t>
  </si>
  <si>
    <t>OIL</t>
  </si>
  <si>
    <t>KCCP</t>
  </si>
  <si>
    <t>Minería</t>
  </si>
  <si>
    <t>Petroquímica</t>
  </si>
  <si>
    <t>Praxair</t>
  </si>
  <si>
    <t>OI</t>
  </si>
  <si>
    <t>Industria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</si>
  <si>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</si>
  <si>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</si>
  <si>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</si>
  <si>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</si>
  <si>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</si>
  <si>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</si>
  <si>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</si>
  <si>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</si>
  <si>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</si>
  <si>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</si>
  <si>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</si>
  <si>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</si>
  <si>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</si>
  <si>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SPCC</t>
  </si>
  <si>
    <t>costo</t>
  </si>
  <si>
    <t>Imprevisto</t>
  </si>
  <si>
    <t>Utilidad</t>
  </si>
  <si>
    <t>Monto</t>
  </si>
  <si>
    <t>Concepto</t>
  </si>
  <si>
    <t>Comentario</t>
  </si>
  <si>
    <t>Simsa</t>
  </si>
  <si>
    <t>Venta</t>
  </si>
  <si>
    <t>Servicio y Proyectos</t>
  </si>
  <si>
    <t> Tipo</t>
  </si>
  <si>
    <t>Cantidad</t>
  </si>
  <si>
    <t>Shougang</t>
  </si>
  <si>
    <t>Rockwell</t>
  </si>
  <si>
    <t>Bimbo</t>
  </si>
  <si>
    <t>Facturado</t>
  </si>
  <si>
    <t>Mondelez</t>
  </si>
  <si>
    <t>HH Propia</t>
  </si>
  <si>
    <t>HH  Propia</t>
  </si>
  <si>
    <t>HH otras Areas</t>
  </si>
  <si>
    <t>Detalle HH otras Areas</t>
  </si>
  <si>
    <t>Proyecto</t>
  </si>
  <si>
    <t>Detalle</t>
  </si>
  <si>
    <t>KPI MIN</t>
  </si>
  <si>
    <t>KPI OIL</t>
  </si>
  <si>
    <t>KPI IND</t>
  </si>
  <si>
    <t>HH Propía</t>
  </si>
  <si>
    <t>Por Facturar</t>
  </si>
  <si>
    <t>Gloria</t>
  </si>
  <si>
    <t>GoodYear</t>
  </si>
  <si>
    <t>TOTALES</t>
  </si>
  <si>
    <t>OBJETIVO ANUAL MÁXIMO</t>
  </si>
  <si>
    <t>OBJETIVO ANUAL MÍNIMO</t>
  </si>
  <si>
    <t>OBJETIVO MÁX AL MES</t>
  </si>
  <si>
    <t>OBJETIVO MÍN AL MES</t>
  </si>
  <si>
    <t>Año</t>
  </si>
  <si>
    <t>La Arena</t>
  </si>
  <si>
    <t>Antapacay</t>
  </si>
  <si>
    <t>Las Bambas</t>
  </si>
  <si>
    <t>Montos OC</t>
  </si>
  <si>
    <t>Gerencia</t>
  </si>
  <si>
    <t>Monto OC</t>
  </si>
  <si>
    <t>TDP</t>
  </si>
  <si>
    <t>Juan Pablo Flores</t>
  </si>
  <si>
    <t>ENERO</t>
  </si>
  <si>
    <t>FEBRERO</t>
  </si>
  <si>
    <t>MARZO</t>
  </si>
  <si>
    <t>ABRIL</t>
  </si>
  <si>
    <t>MAYO</t>
  </si>
  <si>
    <t>Savia</t>
  </si>
  <si>
    <t>JUNIO</t>
  </si>
  <si>
    <t>V&amp;C</t>
  </si>
  <si>
    <t>Faltante</t>
  </si>
  <si>
    <t>Avance</t>
  </si>
  <si>
    <t>Maximo</t>
  </si>
  <si>
    <t>Mínimo</t>
  </si>
  <si>
    <t>JULIO</t>
  </si>
  <si>
    <t>FALTANTE AL MÍNIMO</t>
  </si>
  <si>
    <t>FALTANTE AL MÁXIMO</t>
  </si>
  <si>
    <t>AGOSTO</t>
  </si>
  <si>
    <t>SEPTIEMBRE</t>
  </si>
  <si>
    <t>OCTUBRE</t>
  </si>
  <si>
    <t>NOVIEMBRE</t>
  </si>
  <si>
    <t>DICIEMBRE</t>
  </si>
  <si>
    <t>Mes</t>
  </si>
  <si>
    <t>Costo</t>
  </si>
  <si>
    <t>ÁREA</t>
  </si>
  <si>
    <t xml:space="preserve">ESTADO  (PENDIENTE, PARCIAL O EJECUTADO ) </t>
  </si>
  <si>
    <t>No Ejecutado</t>
  </si>
  <si>
    <t xml:space="preserve">162147B-MMG-S </t>
  </si>
  <si>
    <t>COM</t>
  </si>
  <si>
    <t>PRO. TRA.</t>
  </si>
  <si>
    <t>Obj. Max</t>
  </si>
  <si>
    <t>Obj. Min</t>
  </si>
  <si>
    <t>Conseguido</t>
  </si>
  <si>
    <t>MAX</t>
  </si>
  <si>
    <t>Personal</t>
  </si>
  <si>
    <t>% Max</t>
  </si>
  <si>
    <t>% Min</t>
  </si>
  <si>
    <t>PERSONAL</t>
  </si>
  <si>
    <t>LOGRADO</t>
  </si>
  <si>
    <t>soporte las bambas</t>
  </si>
  <si>
    <t>Area</t>
  </si>
  <si>
    <t>Eternit</t>
  </si>
  <si>
    <t>Metso</t>
  </si>
  <si>
    <t>%</t>
  </si>
  <si>
    <t>Barrick</t>
  </si>
  <si>
    <t>Cuota Comercial</t>
  </si>
  <si>
    <t>ORDENES DE COMPRA MINERÍA</t>
  </si>
  <si>
    <t>ORDENES DE COMPRA INDUSTRIA</t>
  </si>
  <si>
    <t>ORDENES DE COMPRA SAFETY</t>
  </si>
  <si>
    <t>SFY</t>
  </si>
  <si>
    <t>Safety</t>
  </si>
  <si>
    <t>KPI SFY</t>
  </si>
  <si>
    <t>Engie</t>
  </si>
  <si>
    <t>Logrado</t>
  </si>
  <si>
    <t>DIFERENCIA CONSEGUIDO C/ MÁXIMO</t>
  </si>
  <si>
    <t>DIFERENCIA CONSEGUIDO C/ MÍNIMO</t>
  </si>
  <si>
    <t>Nexa</t>
  </si>
  <si>
    <t>Eduardo Bonilla</t>
  </si>
  <si>
    <t>Juan José Castillo M.</t>
  </si>
  <si>
    <t xml:space="preserve">Eduardo Bonilla </t>
  </si>
  <si>
    <t>Luisa Oncebay</t>
  </si>
  <si>
    <t>Juan Flores</t>
  </si>
  <si>
    <t>Zeusol</t>
  </si>
  <si>
    <t>Juan Joosé Castillo</t>
  </si>
  <si>
    <t>Enaex</t>
  </si>
  <si>
    <t>James</t>
  </si>
  <si>
    <t>HH+Utilidad</t>
  </si>
  <si>
    <t>Objetivo Min</t>
  </si>
  <si>
    <t>Heberth Martinez</t>
  </si>
  <si>
    <t>Heberth Martines</t>
  </si>
  <si>
    <t>Chinalco</t>
  </si>
  <si>
    <t>Andalucita</t>
  </si>
  <si>
    <t>Escala</t>
  </si>
  <si>
    <t>Porcentaje</t>
  </si>
  <si>
    <t xml:space="preserve">Puntos </t>
  </si>
  <si>
    <t>X</t>
  </si>
  <si>
    <t>Y</t>
  </si>
  <si>
    <t>Inicio</t>
  </si>
  <si>
    <t>Fin</t>
  </si>
  <si>
    <t>Alpayana</t>
  </si>
  <si>
    <t>Flottweg</t>
  </si>
  <si>
    <t>Faltante al Max</t>
  </si>
  <si>
    <t>Faltante al Min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</si>
  <si>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</si>
  <si>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</si>
  <si>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</si>
  <si>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</si>
  <si>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</si>
  <si>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</si>
  <si>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</si>
  <si>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</si>
  <si>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</si>
  <si>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</si>
  <si>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</si>
  <si>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</si>
  <si>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COMERCIAL</t>
  </si>
  <si>
    <t>Monto Fact</t>
  </si>
  <si>
    <t>ADMINISTRACIÓN</t>
  </si>
  <si>
    <t>MES</t>
  </si>
  <si>
    <t>Monto Fac</t>
  </si>
  <si>
    <t>FACTURADO</t>
  </si>
  <si>
    <t>MINERIA</t>
  </si>
  <si>
    <t>INDUSTRIA</t>
  </si>
  <si>
    <t>PETROQUIMICA</t>
  </si>
  <si>
    <t>S.MAQUINARIA</t>
  </si>
  <si>
    <t>HH+ UTILIDAD</t>
  </si>
  <si>
    <t>HH+ UTIL TOTAL</t>
  </si>
  <si>
    <t>Global Alimentos</t>
  </si>
  <si>
    <t>Bradjur</t>
  </si>
  <si>
    <t>S&amp;P</t>
  </si>
  <si>
    <t>Valero</t>
  </si>
  <si>
    <t>Confipetrol</t>
  </si>
  <si>
    <t>Chaglla</t>
  </si>
  <si>
    <t>Yura</t>
  </si>
  <si>
    <t>Tenova</t>
  </si>
  <si>
    <t>Forsac</t>
  </si>
  <si>
    <t>CONNECT TECH</t>
  </si>
  <si>
    <t>Volcan</t>
  </si>
  <si>
    <t>Molitalia</t>
  </si>
  <si>
    <t>Peru Process</t>
  </si>
  <si>
    <t>SC ING</t>
  </si>
  <si>
    <t>Petrotal</t>
  </si>
  <si>
    <t>Quellaveco</t>
  </si>
  <si>
    <t xml:space="preserve">  </t>
  </si>
  <si>
    <t>Copeinca</t>
  </si>
  <si>
    <t>Selim</t>
  </si>
  <si>
    <t>Dempro</t>
  </si>
  <si>
    <t>SIHI</t>
  </si>
  <si>
    <t>Marcobre</t>
  </si>
  <si>
    <t>Avance MIN</t>
  </si>
  <si>
    <t>Avance MAX</t>
  </si>
  <si>
    <t>Grado MIN</t>
  </si>
  <si>
    <t>Grado MX</t>
  </si>
  <si>
    <t>Rinti</t>
  </si>
  <si>
    <t>Suez</t>
  </si>
  <si>
    <t>APM</t>
  </si>
  <si>
    <t>Shahuindo</t>
  </si>
  <si>
    <t>Linde</t>
  </si>
  <si>
    <t>ORDENES DE COMPRA PETROQUÍMICA</t>
  </si>
  <si>
    <t>Abboott</t>
  </si>
  <si>
    <t>222023A-ANGQ-P_05</t>
  </si>
  <si>
    <t>2MAY3279-CON-0001</t>
  </si>
  <si>
    <t>Mantenimiento de Redes de Comunicación Industrial, Componentes del Sistema de Control</t>
  </si>
  <si>
    <t>Eduardo</t>
  </si>
  <si>
    <t>234061A-PTTL-P-2</t>
  </si>
  <si>
    <t>315-2023-064-1</t>
  </si>
  <si>
    <t>Servicios de Soporte Técnico Especializado del  Sistema de Control, Automatización y Almacenamiento</t>
  </si>
  <si>
    <t xml:space="preserve">261002A-RINTI-S </t>
  </si>
  <si>
    <t>Temperatura silos 4000</t>
  </si>
  <si>
    <t>Luisa</t>
  </si>
  <si>
    <t xml:space="preserve">262003A-PREP-S </t>
  </si>
  <si>
    <t>Servicio de técnicos perfil eléctrico</t>
  </si>
  <si>
    <t xml:space="preserve"> 261007A-RINTI-V</t>
  </si>
  <si>
    <t>OPC2026-285410551</t>
  </si>
  <si>
    <t>Canfield Connector Reed switch</t>
  </si>
  <si>
    <t>Claudia</t>
  </si>
  <si>
    <t>262010A-PREP-V</t>
  </si>
  <si>
    <t>Equipos de Proteccion Personal</t>
  </si>
  <si>
    <t xml:space="preserve">251104B-TRUPAL-S </t>
  </si>
  <si>
    <t>trupal</t>
  </si>
  <si>
    <t>Servicio de emergencia -  Drive PF trupal Trujillo</t>
  </si>
  <si>
    <t>eduardo</t>
  </si>
  <si>
    <t xml:space="preserve">261009A-NESTLE-S </t>
  </si>
  <si>
    <t>Nestle</t>
  </si>
  <si>
    <t>Modificación SCADA para visualización sensores de Gas</t>
  </si>
  <si>
    <t>262016B-SHA-V</t>
  </si>
  <si>
    <t xml:space="preserve"> LUMINARIA MODELO SOLARIS SOLICITUD 177391</t>
  </si>
  <si>
    <t>262028A-MMG-V</t>
  </si>
  <si>
    <t xml:space="preserve"> Solicitud de cotización S1045572-shneider</t>
  </si>
  <si>
    <t>262022A-SPCC-V</t>
  </si>
  <si>
    <t>Southern</t>
  </si>
  <si>
    <t>Licitación 3000545027 ST VARIOS ELÉCTRICOS</t>
  </si>
  <si>
    <t xml:space="preserve">262009B-SPCC-S </t>
  </si>
  <si>
    <t>Licitación  3000541921 CD_SERVICIO VARIADOR ROCKWELL_R</t>
  </si>
  <si>
    <t xml:space="preserve">251121A-MDZ-V </t>
  </si>
  <si>
    <t>Suministro de licencias SQL</t>
  </si>
  <si>
    <t xml:space="preserve">261011A-NESTLE-S </t>
  </si>
  <si>
    <t xml:space="preserve">Revisión del PLC de los sensores de amoniaco </t>
  </si>
  <si>
    <t>264004A-VALP-S</t>
  </si>
  <si>
    <t>Actualización de Arquitectura de Red de Control y Memoria Descriptiva 2026</t>
  </si>
  <si>
    <t xml:space="preserve">262014A-SPCC-V </t>
  </si>
  <si>
    <t xml:space="preserve">LICENCIA WINCC SPCC </t>
  </si>
  <si>
    <t xml:space="preserve">264005A-TDP-S </t>
  </si>
  <si>
    <t>Termnales</t>
  </si>
  <si>
    <t>Programación y Visualización de señales de alarmas</t>
  </si>
  <si>
    <t xml:space="preserve">262013A-MY-S  </t>
  </si>
  <si>
    <t>Yanacocha</t>
  </si>
  <si>
    <t>Migración lógica controladores PLC540 y SLC500 (Allen Bradley) Planta procesos</t>
  </si>
  <si>
    <t xml:space="preserve">262015A-MY-S </t>
  </si>
  <si>
    <t>MIGRACIÓN IO PLC5 – YN BOOSTER KM45</t>
  </si>
  <si>
    <t xml:space="preserve">262037A-MMG-V </t>
  </si>
  <si>
    <t>RFQ 6000121001 Accesorios Dixon</t>
  </si>
  <si>
    <t xml:space="preserve">261018A-MDZ-S </t>
  </si>
  <si>
    <t>CONFIGURACION DE RED INDUSTRIAL L5</t>
  </si>
  <si>
    <t>262046A-SHA-V</t>
  </si>
  <si>
    <t xml:space="preserve"> Luminarias Solares OC </t>
  </si>
  <si>
    <t>Ampliación por un año</t>
  </si>
  <si>
    <t>261021A-CSSAA-P</t>
  </si>
  <si>
    <t>Casa Grande</t>
  </si>
  <si>
    <t xml:space="preserve">Servicio de soporte por emergencia PF7000 </t>
  </si>
  <si>
    <t>264002C-PTTL-P</t>
  </si>
  <si>
    <t>262049A-MMG-V</t>
  </si>
  <si>
    <t xml:space="preserve"> Modulos IO AB</t>
  </si>
  <si>
    <t>264010B-TDP-S</t>
  </si>
  <si>
    <t>Creación de nuevas operaciones en PLC</t>
  </si>
  <si>
    <t>264011A-VALP-S</t>
  </si>
  <si>
    <t>Actualización de planos  del TCOM 2 y TCOM 3</t>
  </si>
  <si>
    <t>261019B-RINTI-S</t>
  </si>
  <si>
    <t>INTEGRACIÓN  DE VALVULA DE DISTRIBUIDOR DE MAÍZ (SILO 4000)</t>
  </si>
  <si>
    <t>262062A-PREP-S</t>
  </si>
  <si>
    <t>TECNICOS ELÉCTRICOS - MINERA ANTAMINA - PDP ABRIL 2026</t>
  </si>
  <si>
    <t xml:space="preserve">262056B-SPCC-S </t>
  </si>
  <si>
    <t>Licitación 3000553413  Tablero</t>
  </si>
  <si>
    <t>262041D-YURA-S</t>
  </si>
  <si>
    <t>CTZ TABLEROS DE CONTROL</t>
  </si>
  <si>
    <t xml:space="preserve">262043D-MACO-S  </t>
  </si>
  <si>
    <t>Mantenimiento de tableros y gabinetes de campo de sistema de control (HDCS &amp; PLC)</t>
  </si>
  <si>
    <t xml:space="preserve">261028B-MDZ-S </t>
  </si>
  <si>
    <t>Migración de Switches Strarix 5700 a Stratix 5200 - L5</t>
  </si>
  <si>
    <t xml:space="preserve">262069A-ANGQ-V </t>
  </si>
  <si>
    <t xml:space="preserve">RFQ 6100160735 - sp 14584177 </t>
  </si>
  <si>
    <t xml:space="preserve">262089A-SHA-V </t>
  </si>
  <si>
    <t xml:space="preserve">Luminarias Solaris </t>
  </si>
  <si>
    <t>262075A-MACO-S</t>
  </si>
  <si>
    <t>Transporte de MTTo</t>
  </si>
  <si>
    <t>262064C-POD-S</t>
  </si>
  <si>
    <t>Poderosa</t>
  </si>
  <si>
    <t>Remediación observaciones Auditoria PlantPAx</t>
  </si>
  <si>
    <t>262101A-PREP-S</t>
  </si>
  <si>
    <t>Servicio - TOQUEPALA</t>
  </si>
  <si>
    <t>262104A-PREP-S</t>
  </si>
  <si>
    <t>MANTENIMIENTO 2 VFD - CONCENTRADORA 1 (NV - 25425)</t>
  </si>
  <si>
    <t xml:space="preserve">262103A-MY-S </t>
  </si>
  <si>
    <t>Migración - YN Recirculación</t>
  </si>
  <si>
    <t>264017A-VALP-S</t>
  </si>
  <si>
    <t>INTEGRACIÓN TANQUE B2 - SCADA</t>
  </si>
  <si>
    <t xml:space="preserve">262083B-MMG-S </t>
  </si>
  <si>
    <t>PR_11684191_GABINETE GATEWAY 4.0</t>
  </si>
  <si>
    <t>262107A-SPCC-S</t>
  </si>
  <si>
    <t>Tendido de tuberías conduit para cable de red en celdas  Wemco y bombas Cleaner</t>
  </si>
  <si>
    <t>262109A-PREP-S</t>
  </si>
  <si>
    <t>TECNICO ELÉCTRICO - MINERA ANTAMINA - PDP JUNIO 2026</t>
  </si>
  <si>
    <t>252185H-YURA-S</t>
  </si>
  <si>
    <t>Suministro Backpanel TC-Chancadora Primaria</t>
  </si>
  <si>
    <t>264018A-TDP-S</t>
  </si>
  <si>
    <t>Cambio de configuración de bombas de Diesel.</t>
  </si>
  <si>
    <t xml:space="preserve">261032A-NESTLE-S </t>
  </si>
  <si>
    <t>Parada de compresores Sala Vilter con sensor de amoniaco</t>
  </si>
  <si>
    <t>264016B-SERTECPET-S</t>
  </si>
  <si>
    <t>Servicio de programación del Sistema de BPCS y SSS L2 EXTENDIDO DEL CAMPO BRETAÑA NORTE - Primera etapa (1-5)</t>
  </si>
  <si>
    <t>Sertecpet</t>
  </si>
  <si>
    <t>261037B-RINTI-S</t>
  </si>
  <si>
    <t>Actualización de Filosofía de Control de Multipartículas 2</t>
  </si>
  <si>
    <t>264021A-VALP-S</t>
  </si>
  <si>
    <t xml:space="preserve"> Integración de PTARI al SCADA.</t>
  </si>
  <si>
    <t>262121A-SPCC-P</t>
  </si>
  <si>
    <t>4200009183, 4200009187, 4200009226, 4200009228, 4200009347, 4200009352 y 4200009353</t>
  </si>
  <si>
    <t>LICITACIÓN P2255-001/P2255-002 - SUMINISTRO DE SISTEMA DE CONTROL Y COMUNICACIONES</t>
  </si>
  <si>
    <t xml:space="preserve">262012B-SPCC-P </t>
  </si>
  <si>
    <t>Licitación  3000563783 - MIGRACION DE PANTALLAS CON DISEÑO DE MIMICOS UTILIZANDO LIBRERIA PLANTPAX</t>
  </si>
  <si>
    <t xml:space="preserve">261025C-NESTLE-S </t>
  </si>
  <si>
    <t>Automatización de cambio de agua de desmolde de bombones</t>
  </si>
  <si>
    <t xml:space="preserve">262122A-MMG-V  </t>
  </si>
  <si>
    <t>Módulos IO Allen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</si>
</sst>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.00_-;\-* #,##0.00_-;_-* &quot;-&quot;??_-;_-@_-"/>
    <numFmt numFmtId="165" formatCode="_ * #,##0.00_ ;_ * \-#,##0.00_ ;_ * &quot;-&quot;??_ ;_ @_ "/>
    <numFmt numFmtId="166" formatCode="mmmm"/>
    <numFmt numFmtId="167" formatCode="[$-C0A]d\-mmm\-yy;@"/>
    <numFmt numFmtId="168" formatCode="#,##0.00000000000"/>
    <numFmt numFmtId="169" formatCode="d\-m\-yyyy;@"/>
    <numFmt numFmtId="170" formatCode="dd\-mm\-yy;@"/>
    <numFmt numFmtId="171" formatCode="&quot;$&quot;#,##0.00"/>
    <numFmt numFmtId="172" formatCode="#,##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41"/>
      </patternFill>
    </fill>
    <fill>
      <patternFill patternType="solid">
        <fgColor indexed="55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00DFDA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3">
    <xf numFmtId="0" fontId="0" fillId="0" borderId="0"/>
    <xf numFmtId="0" fontId="5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5" fillId="0" borderId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5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2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7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3" applyNumberFormat="0" applyAlignment="0" applyProtection="0"/>
    <xf numFmtId="0" fontId="10" fillId="14" borderId="4" applyNumberFormat="0" applyAlignment="0" applyProtection="0"/>
    <xf numFmtId="0" fontId="11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3" applyNumberFormat="0" applyAlignment="0" applyProtection="0"/>
    <xf numFmtId="0" fontId="17" fillId="0" borderId="8" applyNumberFormat="0" applyFill="0" applyAlignment="0" applyProtection="0"/>
    <xf numFmtId="0" fontId="4" fillId="16" borderId="1" applyNumberFormat="0" applyFont="0" applyAlignment="0" applyProtection="0"/>
    <xf numFmtId="0" fontId="18" fillId="13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0" fontId="21" fillId="0" borderId="0"/>
    <xf numFmtId="0" fontId="21" fillId="0" borderId="0"/>
    <xf numFmtId="0" fontId="5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2" fillId="0" borderId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4">
    <xf numFmtId="0" fontId="0" fillId="0" borderId="0" xfId="0"/>
    <xf numFmtId="0" fontId="3" fillId="17" borderId="13" xfId="66" applyFont="1" applyFill="1" applyBorder="1" applyAlignment="1">
      <alignment horizontal="center" vertical="center" wrapText="1"/>
    </xf>
    <xf numFmtId="0" fontId="3" fillId="17" borderId="2" xfId="66" applyFont="1" applyFill="1" applyBorder="1" applyAlignment="1">
      <alignment horizontal="center" vertical="center" wrapText="1"/>
    </xf>
    <xf numFmtId="167" fontId="3" fillId="17" borderId="13" xfId="66" applyNumberFormat="1" applyFont="1" applyFill="1" applyBorder="1" applyAlignment="1">
      <alignment horizontal="center" vertical="center" wrapText="1"/>
    </xf>
    <xf numFmtId="167" fontId="3" fillId="17" borderId="12" xfId="66" applyNumberFormat="1" applyFont="1" applyFill="1" applyBorder="1" applyAlignment="1">
      <alignment horizontal="center" vertical="center" wrapText="1"/>
    </xf>
    <xf numFmtId="167" fontId="0" fillId="0" borderId="0" xfId="0" applyNumberFormat="1"/>
    <xf numFmtId="4" fontId="3" fillId="17" borderId="10" xfId="68" applyNumberFormat="1" applyFont="1" applyFill="1" applyBorder="1" applyAlignment="1">
      <alignment horizontal="center" vertical="center" wrapText="1"/>
    </xf>
    <xf numFmtId="4" fontId="3" fillId="17" borderId="11" xfId="68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22" fillId="0" borderId="0" xfId="0" applyNumberFormat="1" applyFont="1"/>
    <xf numFmtId="0" fontId="0" fillId="0" borderId="0" xfId="0" applyAlignment="1">
      <alignment horizontal="right"/>
    </xf>
    <xf numFmtId="0" fontId="22" fillId="0" borderId="0" xfId="0" applyFont="1"/>
    <xf numFmtId="4" fontId="0" fillId="0" borderId="0" xfId="0" applyNumberFormat="1" applyFont="1"/>
    <xf numFmtId="4" fontId="3" fillId="17" borderId="14" xfId="68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3" fontId="0" fillId="0" borderId="0" xfId="0" applyNumberFormat="1"/>
    <xf numFmtId="0" fontId="24" fillId="0" borderId="15" xfId="0" applyFont="1" applyBorder="1" applyAlignment="1">
      <alignment horizontal="center"/>
    </xf>
    <xf numFmtId="0" fontId="25" fillId="18" borderId="13" xfId="0" applyFont="1" applyFill="1" applyBorder="1" applyAlignment="1">
      <alignment horizontal="center" vertical="center"/>
    </xf>
    <xf numFmtId="0" fontId="25" fillId="18" borderId="16" xfId="0" applyFont="1" applyFill="1" applyBorder="1" applyAlignment="1">
      <alignment horizontal="center" vertical="center"/>
    </xf>
    <xf numFmtId="0" fontId="26" fillId="0" borderId="17" xfId="0" applyFont="1" applyBorder="1" applyAlignment="1">
      <alignment vertical="center"/>
    </xf>
    <xf numFmtId="4" fontId="27" fillId="0" borderId="18" xfId="0" applyNumberFormat="1" applyFont="1" applyBorder="1" applyAlignment="1">
      <alignment horizontal="right" vertical="center"/>
    </xf>
    <xf numFmtId="0" fontId="24" fillId="21" borderId="19" xfId="0" applyFont="1" applyFill="1" applyBorder="1"/>
    <xf numFmtId="4" fontId="24" fillId="21" borderId="20" xfId="0" applyNumberFormat="1" applyFont="1" applyFill="1" applyBorder="1"/>
    <xf numFmtId="0" fontId="24" fillId="20" borderId="21" xfId="0" applyFont="1" applyFill="1" applyBorder="1"/>
    <xf numFmtId="4" fontId="24" fillId="20" borderId="18" xfId="0" applyNumberFormat="1" applyFont="1" applyFill="1" applyBorder="1"/>
    <xf numFmtId="4" fontId="24" fillId="0" borderId="0" xfId="0" applyNumberFormat="1" applyFont="1"/>
    <xf numFmtId="168" fontId="0" fillId="0" borderId="0" xfId="0" applyNumberFormat="1"/>
    <xf numFmtId="0" fontId="24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9" fontId="0" fillId="0" borderId="0" xfId="0" applyNumberFormat="1"/>
    <xf numFmtId="170" fontId="0" fillId="0" borderId="0" xfId="0" applyNumberFormat="1"/>
    <xf numFmtId="0" fontId="28" fillId="22" borderId="2" xfId="0" applyFont="1" applyFill="1" applyBorder="1"/>
    <xf numFmtId="4" fontId="28" fillId="22" borderId="16" xfId="0" applyNumberFormat="1" applyFont="1" applyFill="1" applyBorder="1"/>
    <xf numFmtId="22" fontId="0" fillId="0" borderId="0" xfId="0" applyNumberFormat="1"/>
    <xf numFmtId="0" fontId="24" fillId="19" borderId="2" xfId="0" applyFont="1" applyFill="1" applyBorder="1"/>
    <xf numFmtId="4" fontId="24" fillId="19" borderId="16" xfId="0" applyNumberFormat="1" applyFont="1" applyFill="1" applyBorder="1"/>
    <xf numFmtId="0" fontId="24" fillId="19" borderId="13" xfId="0" applyFont="1" applyFill="1" applyBorder="1"/>
    <xf numFmtId="0" fontId="0" fillId="0" borderId="22" xfId="0" applyBorder="1"/>
    <xf numFmtId="0" fontId="0" fillId="0" borderId="23" xfId="0" applyBorder="1"/>
    <xf numFmtId="0" fontId="0" fillId="0" borderId="0" xfId="0" applyBorder="1"/>
    <xf numFmtId="4" fontId="0" fillId="0" borderId="24" xfId="0" applyNumberFormat="1" applyBorder="1"/>
    <xf numFmtId="0" fontId="0" fillId="0" borderId="21" xfId="0" applyBorder="1"/>
    <xf numFmtId="0" fontId="0" fillId="0" borderId="15" xfId="0" applyBorder="1"/>
    <xf numFmtId="4" fontId="0" fillId="0" borderId="18" xfId="0" applyNumberFormat="1" applyBorder="1"/>
    <xf numFmtId="0" fontId="0" fillId="0" borderId="25" xfId="0" applyBorder="1"/>
    <xf numFmtId="0" fontId="23" fillId="23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4" fontId="0" fillId="0" borderId="26" xfId="0" applyNumberFormat="1" applyBorder="1"/>
    <xf numFmtId="4" fontId="0" fillId="24" borderId="26" xfId="0" applyNumberFormat="1" applyFill="1" applyBorder="1"/>
    <xf numFmtId="0" fontId="22" fillId="0" borderId="27" xfId="0" applyFont="1" applyFill="1" applyBorder="1" applyAlignment="1">
      <alignment horizontal="right"/>
    </xf>
    <xf numFmtId="4" fontId="22" fillId="0" borderId="27" xfId="0" applyNumberFormat="1" applyFont="1" applyBorder="1"/>
    <xf numFmtId="4" fontId="22" fillId="24" borderId="27" xfId="0" applyNumberFormat="1" applyFont="1" applyFill="1" applyBorder="1"/>
    <xf numFmtId="0" fontId="3" fillId="17" borderId="13" xfId="66" applyFont="1" applyFill="1" applyBorder="1" applyAlignment="1">
      <alignment horizontal="center" vertical="center"/>
    </xf>
    <xf numFmtId="4" fontId="22" fillId="0" borderId="26" xfId="0" applyNumberFormat="1" applyFont="1" applyBorder="1"/>
    <xf numFmtId="3" fontId="22" fillId="0" borderId="0" xfId="0" applyNumberFormat="1" applyFont="1"/>
    <xf numFmtId="4" fontId="23" fillId="25" borderId="26" xfId="0" applyNumberFormat="1" applyFont="1" applyFill="1" applyBorder="1"/>
    <xf numFmtId="0" fontId="0" fillId="0" borderId="26" xfId="0" applyBorder="1"/>
    <xf numFmtId="4" fontId="22" fillId="22" borderId="26" xfId="0" applyNumberFormat="1" applyFont="1" applyFill="1" applyBorder="1"/>
    <xf numFmtId="0" fontId="22" fillId="22" borderId="26" xfId="0" applyFont="1" applyFill="1" applyBorder="1"/>
    <xf numFmtId="0" fontId="23" fillId="23" borderId="26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24" fillId="19" borderId="26" xfId="0" applyFont="1" applyFill="1" applyBorder="1"/>
    <xf numFmtId="0" fontId="24" fillId="19" borderId="26" xfId="0" applyFont="1" applyFill="1" applyBorder="1" applyAlignment="1">
      <alignment wrapText="1"/>
    </xf>
    <xf numFmtId="0" fontId="0" fillId="0" borderId="26" xfId="0" applyFill="1" applyBorder="1"/>
    <xf numFmtId="0" fontId="0" fillId="0" borderId="28" xfId="0" applyBorder="1"/>
    <xf numFmtId="4" fontId="0" fillId="0" borderId="28" xfId="0" applyNumberFormat="1" applyBorder="1"/>
    <xf numFmtId="0" fontId="0" fillId="0" borderId="28" xfId="0" applyFill="1" applyBorder="1"/>
    <xf numFmtId="0" fontId="0" fillId="0" borderId="27" xfId="0" applyBorder="1"/>
    <xf numFmtId="4" fontId="0" fillId="0" borderId="27" xfId="0" applyNumberFormat="1" applyBorder="1"/>
    <xf numFmtId="0" fontId="0" fillId="0" borderId="27" xfId="0" applyFill="1" applyBorder="1"/>
    <xf numFmtId="0" fontId="29" fillId="0" borderId="28" xfId="0" applyFont="1" applyBorder="1"/>
    <xf numFmtId="0" fontId="29" fillId="0" borderId="28" xfId="0" applyFont="1" applyFill="1" applyBorder="1"/>
    <xf numFmtId="4" fontId="29" fillId="0" borderId="28" xfId="0" applyNumberFormat="1" applyFont="1" applyBorder="1"/>
    <xf numFmtId="0" fontId="29" fillId="0" borderId="29" xfId="0" applyFont="1" applyBorder="1"/>
    <xf numFmtId="0" fontId="29" fillId="0" borderId="29" xfId="0" applyFont="1" applyFill="1" applyBorder="1"/>
    <xf numFmtId="4" fontId="29" fillId="0" borderId="29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30" xfId="0" applyBorder="1"/>
    <xf numFmtId="4" fontId="0" fillId="19" borderId="30" xfId="0" applyNumberFormat="1" applyFill="1" applyBorder="1"/>
    <xf numFmtId="4" fontId="0" fillId="26" borderId="30" xfId="0" applyNumberFormat="1" applyFill="1" applyBorder="1"/>
    <xf numFmtId="4" fontId="0" fillId="27" borderId="30" xfId="0" applyNumberFormat="1" applyFill="1" applyBorder="1"/>
    <xf numFmtId="9" fontId="0" fillId="0" borderId="30" xfId="181" applyFont="1" applyBorder="1"/>
    <xf numFmtId="0" fontId="0" fillId="0" borderId="34" xfId="0" applyBorder="1"/>
    <xf numFmtId="4" fontId="0" fillId="0" borderId="34" xfId="0" applyNumberFormat="1" applyBorder="1"/>
    <xf numFmtId="4" fontId="0" fillId="0" borderId="35" xfId="0" applyNumberFormat="1" applyBorder="1"/>
    <xf numFmtId="0" fontId="0" fillId="19" borderId="34" xfId="0" applyFill="1" applyBorder="1"/>
    <xf numFmtId="4" fontId="0" fillId="26" borderId="34" xfId="0" applyNumberFormat="1" applyFill="1" applyBorder="1"/>
    <xf numFmtId="4" fontId="0" fillId="19" borderId="34" xfId="0" applyNumberFormat="1" applyFill="1" applyBorder="1"/>
    <xf numFmtId="4" fontId="0" fillId="27" borderId="34" xfId="0" applyNumberFormat="1" applyFill="1" applyBorder="1"/>
    <xf numFmtId="0" fontId="24" fillId="19" borderId="0" xfId="0" applyFont="1" applyFill="1" applyBorder="1"/>
    <xf numFmtId="4" fontId="24" fillId="19" borderId="0" xfId="0" applyNumberFormat="1" applyFont="1" applyFill="1" applyBorder="1"/>
    <xf numFmtId="0" fontId="0" fillId="0" borderId="0" xfId="0" applyFill="1"/>
    <xf numFmtId="0" fontId="0" fillId="0" borderId="0" xfId="0" applyFill="1" applyAlignment="1">
      <alignment horizontal="right"/>
    </xf>
    <xf numFmtId="14" fontId="0" fillId="0" borderId="0" xfId="0" applyNumberFormat="1" applyFill="1"/>
    <xf numFmtId="4" fontId="0" fillId="0" borderId="0" xfId="0" applyNumberFormat="1" applyFill="1"/>
    <xf numFmtId="4" fontId="0" fillId="0" borderId="0" xfId="0" applyNumberFormat="1" applyFont="1" applyFill="1"/>
    <xf numFmtId="0" fontId="0" fillId="19" borderId="34" xfId="0" applyFill="1" applyBorder="1" applyAlignment="1">
      <alignment horizontal="center"/>
    </xf>
    <xf numFmtId="0" fontId="0" fillId="0" borderId="27" xfId="0" applyBorder="1" applyAlignment="1">
      <alignment horizontal="right"/>
    </xf>
    <xf numFmtId="0" fontId="0" fillId="0" borderId="34" xfId="0" applyBorder="1" applyAlignment="1">
      <alignment horizontal="right"/>
    </xf>
    <xf numFmtId="4" fontId="0" fillId="30" borderId="34" xfId="0" applyNumberFormat="1" applyFill="1" applyBorder="1"/>
    <xf numFmtId="0" fontId="0" fillId="30" borderId="34" xfId="0" applyFill="1" applyBorder="1"/>
    <xf numFmtId="9" fontId="0" fillId="30" borderId="34" xfId="181" applyFont="1" applyFill="1" applyBorder="1"/>
    <xf numFmtId="4" fontId="0" fillId="29" borderId="26" xfId="0" applyNumberFormat="1" applyFill="1" applyBorder="1"/>
    <xf numFmtId="4" fontId="22" fillId="29" borderId="27" xfId="0" applyNumberFormat="1" applyFont="1" applyFill="1" applyBorder="1"/>
    <xf numFmtId="4" fontId="0" fillId="24" borderId="34" xfId="0" applyNumberFormat="1" applyFill="1" applyBorder="1"/>
    <xf numFmtId="9" fontId="0" fillId="24" borderId="34" xfId="181" applyFont="1" applyFill="1" applyBorder="1"/>
    <xf numFmtId="0" fontId="23" fillId="23" borderId="34" xfId="0" applyFont="1" applyFill="1" applyBorder="1" applyAlignment="1">
      <alignment horizontal="center" vertical="center" wrapText="1"/>
    </xf>
    <xf numFmtId="4" fontId="22" fillId="0" borderId="38" xfId="0" applyNumberFormat="1" applyFont="1" applyBorder="1"/>
    <xf numFmtId="4" fontId="0" fillId="0" borderId="0" xfId="0" applyNumberFormat="1" applyAlignment="1">
      <alignment horizontal="right"/>
    </xf>
    <xf numFmtId="4" fontId="0" fillId="31" borderId="0" xfId="0" applyNumberFormat="1" applyFill="1"/>
    <xf numFmtId="4" fontId="0" fillId="0" borderId="0" xfId="0" applyNumberFormat="1" applyBorder="1"/>
    <xf numFmtId="0" fontId="0" fillId="0" borderId="34" xfId="0" applyFill="1" applyBorder="1"/>
    <xf numFmtId="9" fontId="0" fillId="0" borderId="34" xfId="181" applyFont="1" applyBorder="1"/>
    <xf numFmtId="9" fontId="0" fillId="0" borderId="0" xfId="181" applyFont="1"/>
    <xf numFmtId="9" fontId="0" fillId="0" borderId="0" xfId="181" applyFont="1" applyAlignment="1">
      <alignment horizontal="left"/>
    </xf>
    <xf numFmtId="171" fontId="0" fillId="0" borderId="34" xfId="0" applyNumberFormat="1" applyBorder="1"/>
    <xf numFmtId="0" fontId="0" fillId="32" borderId="34" xfId="0" applyFill="1" applyBorder="1"/>
    <xf numFmtId="0" fontId="0" fillId="33" borderId="34" xfId="0" applyFill="1" applyBorder="1"/>
    <xf numFmtId="4" fontId="0" fillId="32" borderId="34" xfId="0" applyNumberFormat="1" applyFill="1" applyBorder="1"/>
    <xf numFmtId="4" fontId="0" fillId="33" borderId="34" xfId="0" applyNumberFormat="1" applyFill="1" applyBorder="1"/>
    <xf numFmtId="0" fontId="22" fillId="32" borderId="34" xfId="0" applyFont="1" applyFill="1" applyBorder="1"/>
    <xf numFmtId="4" fontId="22" fillId="32" borderId="34" xfId="0" applyNumberFormat="1" applyFont="1" applyFill="1" applyBorder="1"/>
    <xf numFmtId="2" fontId="0" fillId="0" borderId="0" xfId="0" applyNumberFormat="1"/>
    <xf numFmtId="1" fontId="0" fillId="0" borderId="0" xfId="0" applyNumberFormat="1"/>
    <xf numFmtId="0" fontId="31" fillId="22" borderId="34" xfId="0" applyFont="1" applyFill="1" applyBorder="1" applyAlignment="1">
      <alignment horizontal="center"/>
    </xf>
    <xf numFmtId="1" fontId="0" fillId="0" borderId="34" xfId="181" applyNumberFormat="1" applyFont="1" applyBorder="1" applyAlignment="1">
      <alignment horizontal="center"/>
    </xf>
    <xf numFmtId="165" fontId="0" fillId="0" borderId="34" xfId="104" applyFont="1" applyBorder="1"/>
    <xf numFmtId="165" fontId="0" fillId="0" borderId="35" xfId="104" applyFont="1" applyBorder="1"/>
    <xf numFmtId="165" fontId="0" fillId="0" borderId="27" xfId="104" applyFont="1" applyBorder="1"/>
    <xf numFmtId="164" fontId="0" fillId="0" borderId="0" xfId="0" applyNumberFormat="1"/>
    <xf numFmtId="4" fontId="0" fillId="31" borderId="0" xfId="0" applyNumberFormat="1" applyFill="1" applyAlignment="1">
      <alignment wrapText="1"/>
    </xf>
    <xf numFmtId="0" fontId="22" fillId="0" borderId="0" xfId="0" applyFont="1" applyFill="1" applyBorder="1" applyAlignment="1">
      <alignment horizontal="right"/>
    </xf>
    <xf numFmtId="4" fontId="22" fillId="0" borderId="0" xfId="0" applyNumberFormat="1" applyFont="1" applyFill="1" applyBorder="1" applyAlignment="1">
      <alignment horizontal="right"/>
    </xf>
    <xf numFmtId="0" fontId="23" fillId="23" borderId="26" xfId="0" applyFont="1" applyFill="1" applyBorder="1" applyAlignment="1">
      <alignment horizontal="center"/>
    </xf>
    <xf numFmtId="0" fontId="23" fillId="23" borderId="34" xfId="0" applyFont="1" applyFill="1" applyBorder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" fontId="23" fillId="34" borderId="26" xfId="0" applyNumberFormat="1" applyFont="1" applyFill="1" applyBorder="1"/>
    <xf numFmtId="0" fontId="0" fillId="35" borderId="0" xfId="0" applyFill="1" applyAlignment="1">
      <alignment horizontal="right"/>
    </xf>
    <xf numFmtId="0" fontId="0" fillId="35" borderId="0" xfId="0" applyFill="1"/>
    <xf numFmtId="16" fontId="0" fillId="0" borderId="0" xfId="0" applyNumberFormat="1"/>
    <xf numFmtId="4" fontId="0" fillId="0" borderId="0" xfId="0" applyNumberFormat="1" applyFill="1" applyBorder="1"/>
    <xf numFmtId="4" fontId="0" fillId="0" borderId="0" xfId="0" applyNumberFormat="1" applyAlignment="1">
      <alignment wrapText="1"/>
    </xf>
    <xf numFmtId="0" fontId="32" fillId="0" borderId="0" xfId="0" applyFont="1"/>
    <xf numFmtId="4" fontId="0" fillId="0" borderId="0" xfId="0" quotePrefix="1" applyNumberFormat="1"/>
    <xf numFmtId="172" fontId="0" fillId="0" borderId="0" xfId="0" applyNumberFormat="1"/>
    <xf numFmtId="0" fontId="24" fillId="19" borderId="2" xfId="0" applyFont="1" applyFill="1" applyBorder="1" applyAlignment="1"/>
    <xf numFmtId="0" fontId="0" fillId="0" borderId="12" xfId="0" applyBorder="1" applyAlignment="1"/>
    <xf numFmtId="0" fontId="0" fillId="0" borderId="16" xfId="0" applyBorder="1" applyAlignment="1"/>
    <xf numFmtId="0" fontId="24" fillId="0" borderId="15" xfId="0" applyFont="1" applyBorder="1" applyAlignment="1">
      <alignment horizontal="center"/>
    </xf>
    <xf numFmtId="0" fontId="24" fillId="19" borderId="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24" fillId="19" borderId="26" xfId="0" applyFont="1" applyFill="1" applyBorder="1" applyAlignment="1">
      <alignment horizontal="center"/>
    </xf>
    <xf numFmtId="0" fontId="0" fillId="30" borderId="34" xfId="0" applyFill="1" applyBorder="1" applyAlignment="1">
      <alignment horizontal="center"/>
    </xf>
    <xf numFmtId="0" fontId="0" fillId="24" borderId="34" xfId="0" applyFill="1" applyBorder="1" applyAlignment="1">
      <alignment horizontal="center"/>
    </xf>
    <xf numFmtId="0" fontId="30" fillId="28" borderId="34" xfId="0" applyFont="1" applyFill="1" applyBorder="1" applyAlignment="1">
      <alignment horizontal="center" vertical="center" textRotation="255"/>
    </xf>
    <xf numFmtId="4" fontId="0" fillId="0" borderId="31" xfId="0" applyNumberFormat="1" applyBorder="1" applyAlignment="1">
      <alignment horizontal="center" vertical="center"/>
    </xf>
    <xf numFmtId="4" fontId="0" fillId="0" borderId="32" xfId="0" applyNumberFormat="1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0" fontId="30" fillId="28" borderId="39" xfId="0" applyFont="1" applyFill="1" applyBorder="1" applyAlignment="1">
      <alignment horizontal="center" vertical="center" textRotation="255"/>
    </xf>
    <xf numFmtId="0" fontId="30" fillId="28" borderId="0" xfId="0" applyFont="1" applyFill="1" applyBorder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  <xf numFmtId="4" fontId="0" fillId="0" borderId="34" xfId="0" applyNumberFormat="1" applyBorder="1" applyAlignment="1">
      <alignment horizontal="center" vertical="center"/>
    </xf>
    <xf numFmtId="0" fontId="0" fillId="32" borderId="34" xfId="0" applyFill="1" applyBorder="1" applyAlignment="1">
      <alignment horizontal="center"/>
    </xf>
    <xf numFmtId="0" fontId="0" fillId="33" borderId="34" xfId="0" applyFill="1" applyBorder="1" applyAlignment="1">
      <alignment horizontal="center"/>
    </xf>
  </cellXfs>
  <cellStyles count="183">
    <cellStyle name="20% - Accent1" xfId="27"/>
    <cellStyle name="20% - Accent2" xfId="28"/>
    <cellStyle name="20% - Accent3" xfId="29"/>
    <cellStyle name="20% - Accent4" xfId="30"/>
    <cellStyle name="20% - Accent5" xfId="31"/>
    <cellStyle name="20% - Accent6" xfId="32"/>
    <cellStyle name="40% - Accent1" xfId="33"/>
    <cellStyle name="40% - Accent2" xfId="34"/>
    <cellStyle name="40% - Accent3" xfId="35"/>
    <cellStyle name="40% - Accent4" xfId="36"/>
    <cellStyle name="40% - Accent5" xfId="37"/>
    <cellStyle name="40% - Accent6" xfId="38"/>
    <cellStyle name="60% - Accent1" xfId="39"/>
    <cellStyle name="60% - Accent2" xfId="40"/>
    <cellStyle name="60% - Accent3" xfId="41"/>
    <cellStyle name="60% - Accent4" xfId="42"/>
    <cellStyle name="60% - Accent5" xfId="43"/>
    <cellStyle name="60% - Accent6" xfId="44"/>
    <cellStyle name="Accent1" xfId="45"/>
    <cellStyle name="Accent2" xfId="46"/>
    <cellStyle name="Accent3" xfId="47"/>
    <cellStyle name="Accent4" xfId="48"/>
    <cellStyle name="Accent5" xfId="49"/>
    <cellStyle name="Accent6" xfId="50"/>
    <cellStyle name="Bad" xfId="51"/>
    <cellStyle name="Calculation" xfId="52"/>
    <cellStyle name="Check Cell" xfId="53"/>
    <cellStyle name="Explanatory Text" xfId="54"/>
    <cellStyle name="Good" xfId="55"/>
    <cellStyle name="Heading 1" xfId="56"/>
    <cellStyle name="Heading 2" xfId="57"/>
    <cellStyle name="Heading 3" xfId="58"/>
    <cellStyle name="Heading 4" xfId="59"/>
    <cellStyle name="Input" xfId="60"/>
    <cellStyle name="Linked Cell" xfId="61"/>
    <cellStyle name="Millares 10" xfId="13"/>
    <cellStyle name="Millares 11" xfId="14"/>
    <cellStyle name="Millares 12" xfId="15"/>
    <cellStyle name="Millares 13" xfId="16"/>
    <cellStyle name="Millares 14" xfId="17"/>
    <cellStyle name="Millares 15" xfId="18"/>
    <cellStyle name="Millares 16" xfId="19"/>
    <cellStyle name="Millares 17" xfId="20"/>
    <cellStyle name="Millares 18" xfId="21"/>
    <cellStyle name="Millares 19" xfId="22"/>
    <cellStyle name="Millares 2" xfId="182"/>
    <cellStyle name="Millares 2 10" xfId="104"/>
    <cellStyle name="Millares 2 11" xfId="114"/>
    <cellStyle name="Millares 2 12" xfId="116"/>
    <cellStyle name="Millares 2 13" xfId="119"/>
    <cellStyle name="Millares 2 14" xfId="121"/>
    <cellStyle name="Millares 2 15" xfId="124"/>
    <cellStyle name="Millares 2 16" xfId="128"/>
    <cellStyle name="Millares 2 17" xfId="131"/>
    <cellStyle name="Millares 2 18" xfId="134"/>
    <cellStyle name="Millares 2 19" xfId="137"/>
    <cellStyle name="Millares 2 2" xfId="2"/>
    <cellStyle name="Millares 2 2 10" xfId="112"/>
    <cellStyle name="Millares 2 2 11" xfId="113"/>
    <cellStyle name="Millares 2 2 12" xfId="95"/>
    <cellStyle name="Millares 2 2 13" xfId="109"/>
    <cellStyle name="Millares 2 2 14" xfId="120"/>
    <cellStyle name="Millares 2 2 15" xfId="88"/>
    <cellStyle name="Millares 2 2 16" xfId="81"/>
    <cellStyle name="Millares 2 2 17" xfId="123"/>
    <cellStyle name="Millares 2 2 18" xfId="127"/>
    <cellStyle name="Millares 2 2 19" xfId="130"/>
    <cellStyle name="Millares 2 2 2" xfId="3"/>
    <cellStyle name="Millares 2 2 20" xfId="133"/>
    <cellStyle name="Millares 2 2 21" xfId="143"/>
    <cellStyle name="Millares 2 2 22" xfId="144"/>
    <cellStyle name="Millares 2 2 23" xfId="89"/>
    <cellStyle name="Millares 2 2 24" xfId="82"/>
    <cellStyle name="Millares 2 2 25" xfId="155"/>
    <cellStyle name="Millares 2 2 26" xfId="157"/>
    <cellStyle name="Millares 2 2 27" xfId="90"/>
    <cellStyle name="Millares 2 2 28" xfId="83"/>
    <cellStyle name="Millares 2 2 29" xfId="153"/>
    <cellStyle name="Millares 2 2 3" xfId="72"/>
    <cellStyle name="Millares 2 2 30" xfId="167"/>
    <cellStyle name="Millares 2 2 31" xfId="91"/>
    <cellStyle name="Millares 2 2 32" xfId="85"/>
    <cellStyle name="Millares 2 2 33" xfId="170"/>
    <cellStyle name="Millares 2 2 34" xfId="174"/>
    <cellStyle name="Millares 2 2 4" xfId="92"/>
    <cellStyle name="Millares 2 2 5" xfId="75"/>
    <cellStyle name="Millares 2 2 6" xfId="99"/>
    <cellStyle name="Millares 2 2 7" xfId="100"/>
    <cellStyle name="Millares 2 2 8" xfId="96"/>
    <cellStyle name="Millares 2 2 9" xfId="87"/>
    <cellStyle name="Millares 2 20" xfId="139"/>
    <cellStyle name="Millares 2 21" xfId="136"/>
    <cellStyle name="Millares 2 22" xfId="145"/>
    <cellStyle name="Millares 2 23" xfId="148"/>
    <cellStyle name="Millares 2 24" xfId="151"/>
    <cellStyle name="Millares 2 25" xfId="147"/>
    <cellStyle name="Millares 2 26" xfId="158"/>
    <cellStyle name="Millares 2 27" xfId="161"/>
    <cellStyle name="Millares 2 28" xfId="163"/>
    <cellStyle name="Millares 2 29" xfId="166"/>
    <cellStyle name="Millares 2 3" xfId="71"/>
    <cellStyle name="Millares 2 30" xfId="168"/>
    <cellStyle name="Millares 2 31" xfId="171"/>
    <cellStyle name="Millares 2 32" xfId="175"/>
    <cellStyle name="Millares 2 33" xfId="177"/>
    <cellStyle name="Millares 2 34" xfId="179"/>
    <cellStyle name="Millares 2 4" xfId="93"/>
    <cellStyle name="Millares 2 5" xfId="74"/>
    <cellStyle name="Millares 2 6" xfId="97"/>
    <cellStyle name="Millares 2 7" xfId="101"/>
    <cellStyle name="Millares 2 8" xfId="105"/>
    <cellStyle name="Millares 2 9" xfId="107"/>
    <cellStyle name="Millares 20" xfId="23"/>
    <cellStyle name="Millares 21" xfId="24"/>
    <cellStyle name="Millares 22" xfId="25"/>
    <cellStyle name="Millares 23" xfId="26"/>
    <cellStyle name="Millares 24" xfId="67"/>
    <cellStyle name="Millares 28" xfId="77"/>
    <cellStyle name="Millares 3" xfId="6"/>
    <cellStyle name="Millares 30" xfId="79"/>
    <cellStyle name="Millares 32" xfId="80"/>
    <cellStyle name="Millares 34" xfId="78"/>
    <cellStyle name="Millares 36" xfId="103"/>
    <cellStyle name="Millares 38" xfId="110"/>
    <cellStyle name="Millares 4" xfId="7"/>
    <cellStyle name="Millares 40" xfId="118"/>
    <cellStyle name="Millares 42" xfId="126"/>
    <cellStyle name="Millares 48" xfId="76"/>
    <cellStyle name="Millares 5" xfId="8"/>
    <cellStyle name="Millares 50" xfId="156"/>
    <cellStyle name="Millares 52" xfId="141"/>
    <cellStyle name="Millares 54" xfId="84"/>
    <cellStyle name="Millares 56" xfId="165"/>
    <cellStyle name="Millares 58" xfId="173"/>
    <cellStyle name="Millares 6" xfId="9"/>
    <cellStyle name="Millares 7" xfId="10"/>
    <cellStyle name="Millares 8" xfId="11"/>
    <cellStyle name="Millares 9" xfId="12"/>
    <cellStyle name="Normal" xfId="0" builtinId="0"/>
    <cellStyle name="Normal 2 10" xfId="111"/>
    <cellStyle name="Normal 2 11" xfId="115"/>
    <cellStyle name="Normal 2 12" xfId="117"/>
    <cellStyle name="Normal 2 13" xfId="86"/>
    <cellStyle name="Normal 2 14" xfId="122"/>
    <cellStyle name="Normal 2 15" xfId="125"/>
    <cellStyle name="Normal 2 16" xfId="129"/>
    <cellStyle name="Normal 2 17" xfId="132"/>
    <cellStyle name="Normal 2 18" xfId="135"/>
    <cellStyle name="Normal 2 19" xfId="138"/>
    <cellStyle name="Normal 2 2" xfId="1"/>
    <cellStyle name="Normal 2 20" xfId="140"/>
    <cellStyle name="Normal 2 21" xfId="142"/>
    <cellStyle name="Normal 2 22" xfId="146"/>
    <cellStyle name="Normal 2 23" xfId="149"/>
    <cellStyle name="Normal 2 24" xfId="152"/>
    <cellStyle name="Normal 2 25" xfId="154"/>
    <cellStyle name="Normal 2 26" xfId="159"/>
    <cellStyle name="Normal 2 27" xfId="162"/>
    <cellStyle name="Normal 2 28" xfId="164"/>
    <cellStyle name="Normal 2 29" xfId="160"/>
    <cellStyle name="Normal 2 3" xfId="70"/>
    <cellStyle name="Normal 2 30" xfId="169"/>
    <cellStyle name="Normal 2 31" xfId="172"/>
    <cellStyle name="Normal 2 32" xfId="176"/>
    <cellStyle name="Normal 2 33" xfId="178"/>
    <cellStyle name="Normal 2 34" xfId="180"/>
    <cellStyle name="Normal 2 4" xfId="94"/>
    <cellStyle name="Normal 2 5" xfId="73"/>
    <cellStyle name="Normal 2 6" xfId="98"/>
    <cellStyle name="Normal 2 7" xfId="102"/>
    <cellStyle name="Normal 2 8" xfId="106"/>
    <cellStyle name="Normal 2 9" xfId="108"/>
    <cellStyle name="Normal 28" xfId="150"/>
    <cellStyle name="Normal 3" xfId="4"/>
    <cellStyle name="Normal 4" xfId="5"/>
    <cellStyle name="Normal 5" xfId="66"/>
    <cellStyle name="Normal 6" xfId="68"/>
    <cellStyle name="Normal 7" xfId="69"/>
    <cellStyle name="Note" xfId="62"/>
    <cellStyle name="Output" xfId="63"/>
    <cellStyle name="Porcentaje" xfId="181" builtinId="5"/>
    <cellStyle name="Title" xfId="64"/>
    <cellStyle name="Warning Text" xfId="65"/>
  </cellStyles>
  <dxfs count="60">
    <dxf>
      <fill>
        <patternFill>
          <bgColor theme="3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99FF"/>
      <color rgb="FF00FFCC"/>
      <color rgb="FFFFFF89"/>
      <color rgb="FF008080"/>
      <color rgb="FFFFFF99"/>
      <color rgb="FF00FF00"/>
      <color rgb="FF1D05D1"/>
      <color rgb="FFFFFF00"/>
      <color rgb="FF00DFDA"/>
      <color rgb="FF00B0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baseline="0">
                <a:effectLst/>
              </a:rPr>
              <a:t>Montos de OC por Empresa - Minera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MIN!$N$3</c:f>
              <c:strCache>
                <c:ptCount val="1"/>
                <c:pt idx="0">
                  <c:v>Monto O/C</c:v>
                </c:pt>
              </c:strCache>
            </c:strRef>
          </c:tx>
          <c:spPr>
            <a:solidFill>
              <a:srgbClr val="CCCC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5FF-4236-BB83-C55898647F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C5FF-4236-BB83-C55898647F3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C5FF-4236-BB83-C55898647F3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C5FF-4236-BB83-C55898647F3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C5FF-4236-BB83-C55898647F3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C5FF-4236-BB83-C55898647F3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C5FF-4236-BB83-C55898647F3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6931-42DD-85EF-E4DD7EBAEF5F}"/>
              </c:ext>
            </c:extLst>
          </c:dPt>
          <c:cat>
            <c:strRef>
              <c:f>MIN!$M$4:$M$12</c:f>
              <c:strCache>
                <c:ptCount val="9"/>
                <c:pt idx="0">
                  <c:v>Quellaveco</c:v>
                </c:pt>
                <c:pt idx="1">
                  <c:v>SPCC</c:v>
                </c:pt>
                <c:pt idx="2">
                  <c:v>Shahuindo</c:v>
                </c:pt>
                <c:pt idx="3">
                  <c:v>Las Bambas</c:v>
                </c:pt>
                <c:pt idx="4">
                  <c:v>Shougang</c:v>
                </c:pt>
                <c:pt idx="5">
                  <c:v>Andalucita</c:v>
                </c:pt>
                <c:pt idx="6">
                  <c:v>Yura</c:v>
                </c:pt>
                <c:pt idx="7">
                  <c:v>La Arena</c:v>
                </c:pt>
                <c:pt idx="8">
                  <c:v>Precisión</c:v>
                </c:pt>
              </c:strCache>
            </c:strRef>
          </c:cat>
          <c:val>
            <c:numRef>
              <c:f>MIN!$N$4:$N$12</c:f>
              <c:numCache>
                <c:formatCode>#,##0.00</c:formatCode>
                <c:ptCount val="9"/>
                <c:pt idx="0">
                  <c:v>523040.49000000005</c:v>
                </c:pt>
                <c:pt idx="1">
                  <c:v>316454.67</c:v>
                </c:pt>
                <c:pt idx="2">
                  <c:v>74200</c:v>
                </c:pt>
                <c:pt idx="3">
                  <c:v>7915.0400000000009</c:v>
                </c:pt>
                <c:pt idx="4">
                  <c:v>0</c:v>
                </c:pt>
                <c:pt idx="5">
                  <c:v>0</c:v>
                </c:pt>
                <c:pt idx="6">
                  <c:v>116600.98999999999</c:v>
                </c:pt>
                <c:pt idx="7">
                  <c:v>0</c:v>
                </c:pt>
                <c:pt idx="8">
                  <c:v>18613.920000000002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FF-4236-BB83-C55898647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0019824"/>
        <c:axId val="270030704"/>
        <c:axId val="0"/>
      </c:bar3DChart>
      <c:catAx>
        <c:axId val="2700198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70030704"/>
        <c:crosses val="autoZero"/>
        <c:auto val="1"/>
        <c:lblAlgn val="ctr"/>
        <c:lblOffset val="100"/>
        <c:noMultiLvlLbl val="0"/>
      </c:catAx>
      <c:valAx>
        <c:axId val="270030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/>
                </a:pPr>
                <a:r>
                  <a:rPr lang="en-US"/>
                  <a:t>US $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7001982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s-ES"/>
            </a:pPr>
            <a:endParaRPr lang="es-ES"/>
          </a:p>
        </c:txPr>
      </c:dTable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 sz="1800" b="1" i="0" u="none" strike="noStrike" baseline="0">
                <a:effectLst/>
              </a:rPr>
              <a:t>% Montos de Ordenes de Compra por Cliente Sector Minería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MIN!$N$3</c:f>
              <c:strCache>
                <c:ptCount val="1"/>
                <c:pt idx="0">
                  <c:v>Monto O/C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-0.2132742782152231"/>
                  <c:y val="1.2628738309119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83-427D-98E2-07A326338119}"/>
                </c:ext>
              </c:extLst>
            </c:dLbl>
            <c:dLbl>
              <c:idx val="1"/>
              <c:layout>
                <c:manualLayout>
                  <c:x val="0.14252734033245845"/>
                  <c:y val="-8.15796412545206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83-427D-98E2-07A326338119}"/>
                </c:ext>
              </c:extLst>
            </c:dLbl>
            <c:dLbl>
              <c:idx val="2"/>
              <c:layout>
                <c:manualLayout>
                  <c:x val="-0.10294860017497813"/>
                  <c:y val="-3.57964125452061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83-427D-98E2-07A326338119}"/>
                </c:ext>
              </c:extLst>
            </c:dLbl>
            <c:dLbl>
              <c:idx val="3"/>
              <c:layout>
                <c:manualLayout>
                  <c:x val="-0.10763976377952755"/>
                  <c:y val="-0.100210941374263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83-427D-98E2-07A326338119}"/>
                </c:ext>
              </c:extLst>
            </c:dLbl>
            <c:dLbl>
              <c:idx val="5"/>
              <c:layout>
                <c:manualLayout>
                  <c:x val="3.1653652668416445E-2"/>
                  <c:y val="-7.632787837004245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EE-4FD1-AFBF-05686FA20C5B}"/>
                </c:ext>
              </c:extLst>
            </c:dLbl>
            <c:dLbl>
              <c:idx val="7"/>
              <c:layout>
                <c:manualLayout>
                  <c:x val="7.4998906386701661E-2"/>
                  <c:y val="3.13088906846071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83-427D-98E2-07A3263381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MIN!$M$4:$M$12</c:f>
              <c:strCache>
                <c:ptCount val="9"/>
                <c:pt idx="0">
                  <c:v>Quellaveco</c:v>
                </c:pt>
                <c:pt idx="1">
                  <c:v>SPCC</c:v>
                </c:pt>
                <c:pt idx="2">
                  <c:v>Shahuindo</c:v>
                </c:pt>
                <c:pt idx="3">
                  <c:v>Las Bambas</c:v>
                </c:pt>
                <c:pt idx="4">
                  <c:v>Shougang</c:v>
                </c:pt>
                <c:pt idx="5">
                  <c:v>Andalucita</c:v>
                </c:pt>
                <c:pt idx="6">
                  <c:v>Yura</c:v>
                </c:pt>
                <c:pt idx="7">
                  <c:v>La Arena</c:v>
                </c:pt>
                <c:pt idx="8">
                  <c:v>Precisión</c:v>
                </c:pt>
              </c:strCache>
            </c:strRef>
          </c:cat>
          <c:val>
            <c:numRef>
              <c:f>MIN!$N$4:$N$12</c:f>
              <c:numCache>
                <c:formatCode>#,##0.00</c:formatCode>
                <c:ptCount val="9"/>
                <c:pt idx="0">
                  <c:v>523040.49000000005</c:v>
                </c:pt>
                <c:pt idx="1">
                  <c:v>316454.67</c:v>
                </c:pt>
                <c:pt idx="2">
                  <c:v>74200</c:v>
                </c:pt>
                <c:pt idx="3">
                  <c:v>7915.0400000000009</c:v>
                </c:pt>
                <c:pt idx="4">
                  <c:v>0</c:v>
                </c:pt>
                <c:pt idx="5">
                  <c:v>0</c:v>
                </c:pt>
                <c:pt idx="6">
                  <c:v>116600.98999999999</c:v>
                </c:pt>
                <c:pt idx="7">
                  <c:v>0</c:v>
                </c:pt>
                <c:pt idx="8">
                  <c:v>18613.920000000002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83-427D-98E2-07A32633811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Distribución de Ordenes de compra Minería</a:t>
            </a:r>
            <a:endParaRPr lang="es-ES">
              <a:effectLst/>
            </a:endParaRPr>
          </a:p>
        </c:rich>
      </c:tx>
      <c:layout>
        <c:manualLayout>
          <c:xMode val="edge"/>
          <c:yMode val="edge"/>
          <c:x val="0.12581233595800526"/>
          <c:y val="2.3738872403560832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8611111111111108E-2"/>
          <c:y val="0.30457824508463394"/>
          <c:w val="0.81388888888888888"/>
          <c:h val="0.60222075533971431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21089282589676289"/>
                  <c:y val="-0.14368653473211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DD-43EB-91E8-F809818EAEA3}"/>
                </c:ext>
              </c:extLst>
            </c:dLbl>
            <c:dLbl>
              <c:idx val="1"/>
              <c:layout>
                <c:manualLayout>
                  <c:x val="0.23379002624671916"/>
                  <c:y val="-0.190030647366683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DD-43EB-91E8-F809818EAEA3}"/>
                </c:ext>
              </c:extLst>
            </c:dLbl>
            <c:dLbl>
              <c:idx val="2"/>
              <c:layout>
                <c:manualLayout>
                  <c:x val="-3.0054461942257218E-2"/>
                  <c:y val="-5.7404768024175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DD-43EB-91E8-F809818EAEA3}"/>
                </c:ext>
              </c:extLst>
            </c:dLbl>
            <c:dLbl>
              <c:idx val="3"/>
              <c:layout>
                <c:manualLayout>
                  <c:x val="-3.3564741907261643E-2"/>
                  <c:y val="-6.51401512496397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DD-43EB-91E8-F809818EAEA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MIN!$N$31:$N$34</c:f>
              <c:strCache>
                <c:ptCount val="4"/>
                <c:pt idx="0">
                  <c:v>Costo</c:v>
                </c:pt>
                <c:pt idx="1">
                  <c:v>HH Propía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MIN!$O$31:$O$34</c:f>
              <c:numCache>
                <c:formatCode>#,##0.00</c:formatCode>
                <c:ptCount val="4"/>
                <c:pt idx="0">
                  <c:v>698769.05</c:v>
                </c:pt>
                <c:pt idx="1">
                  <c:v>323842.94999999995</c:v>
                </c:pt>
                <c:pt idx="2">
                  <c:v>9413.82</c:v>
                </c:pt>
                <c:pt idx="3">
                  <c:v>112065.29000000001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DD-43EB-91E8-F809818EAEA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 sz="1800" b="1" i="0" baseline="0">
                <a:effectLst/>
              </a:rPr>
              <a:t>% Montos de Ordenes de Compra por Cliente Sector Petroquímica</a:t>
            </a:r>
            <a:endParaRPr lang="es-ES">
              <a:effectLst/>
            </a:endParaRPr>
          </a:p>
        </c:rich>
      </c:tx>
      <c:layout>
        <c:manualLayout>
          <c:xMode val="edge"/>
          <c:yMode val="edge"/>
          <c:x val="0.13068744531933513"/>
          <c:y val="1.3888888888888897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138888888888888"/>
          <c:y val="0.35250255176436296"/>
          <c:w val="0.81388888888888911"/>
          <c:h val="0.55865230387868181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1598840769903763"/>
                  <c:y val="-9.08523426441612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83-44B8-9866-5BE140D6E416}"/>
                </c:ext>
              </c:extLst>
            </c:dLbl>
            <c:dLbl>
              <c:idx val="1"/>
              <c:layout>
                <c:manualLayout>
                  <c:x val="8.4516622922134726E-3"/>
                  <c:y val="-9.494023247094113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83-44B8-9866-5BE140D6E416}"/>
                </c:ext>
              </c:extLst>
            </c:dLbl>
            <c:dLbl>
              <c:idx val="2"/>
              <c:layout>
                <c:manualLayout>
                  <c:x val="9.1716972878390229E-3"/>
                  <c:y val="-0.1109522614021073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83-44B8-9866-5BE140D6E416}"/>
                </c:ext>
              </c:extLst>
            </c:dLbl>
            <c:dLbl>
              <c:idx val="3"/>
              <c:layout>
                <c:manualLayout>
                  <c:x val="2.8457786526684164E-2"/>
                  <c:y val="-8.44268466441694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83-44B8-9866-5BE140D6E416}"/>
                </c:ext>
              </c:extLst>
            </c:dLbl>
            <c:dLbl>
              <c:idx val="4"/>
              <c:layout>
                <c:manualLayout>
                  <c:x val="4.463013998250219E-2"/>
                  <c:y val="-3.04761904761904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83-44B8-9866-5BE140D6E416}"/>
                </c:ext>
              </c:extLst>
            </c:dLbl>
            <c:dLbl>
              <c:idx val="5"/>
              <c:layout>
                <c:manualLayout>
                  <c:x val="0.23049715660542444"/>
                  <c:y val="-6.52019497562804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83-44B8-9866-5BE140D6E416}"/>
                </c:ext>
              </c:extLst>
            </c:dLbl>
            <c:dLbl>
              <c:idx val="6"/>
              <c:layout>
                <c:manualLayout>
                  <c:x val="-0.14578597987751532"/>
                  <c:y val="0.112482939632545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83-44B8-9866-5BE140D6E4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OIL!$M$4:$M$8</c:f>
              <c:strCache>
                <c:ptCount val="5"/>
                <c:pt idx="0">
                  <c:v>Petrotal</c:v>
                </c:pt>
                <c:pt idx="1">
                  <c:v>Resertec</c:v>
                </c:pt>
                <c:pt idx="2">
                  <c:v>Valero</c:v>
                </c:pt>
                <c:pt idx="3">
                  <c:v>TDP</c:v>
                </c:pt>
                <c:pt idx="4">
                  <c:v>Linde</c:v>
                </c:pt>
              </c:strCache>
            </c:strRef>
          </c:cat>
          <c:val>
            <c:numRef>
              <c:f>OIL!$N$4:$N$8</c:f>
              <c:numCache>
                <c:formatCode>#,##0.00</c:formatCode>
                <c:ptCount val="5"/>
                <c:pt idx="0">
                  <c:v>197050</c:v>
                </c:pt>
                <c:pt idx="1">
                  <c:v>0</c:v>
                </c:pt>
                <c:pt idx="2">
                  <c:v>9120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A83-44B8-9866-5BE140D6E41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 sz="1800" b="1" i="0" baseline="0">
                <a:effectLst/>
              </a:rPr>
              <a:t>Montos de OC por Empresa - Petroquímica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838921897164943"/>
          <c:y val="0.1296677093445511"/>
          <c:w val="0.86200297417130956"/>
          <c:h val="0.6324288642001941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OIL!$N$3</c:f>
              <c:strCache>
                <c:ptCount val="1"/>
                <c:pt idx="0">
                  <c:v>Monto O/C</c:v>
                </c:pt>
              </c:strCache>
            </c:strRef>
          </c:tx>
          <c:spPr>
            <a:solidFill>
              <a:srgbClr val="0066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B3B-460F-AB4F-0B8A54C1ED9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B3B-460F-AB4F-0B8A54C1ED9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4B3B-460F-AB4F-0B8A54C1ED9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4B3B-460F-AB4F-0B8A54C1ED90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9-4B3B-460F-AB4F-0B8A54C1ED9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4B3B-460F-AB4F-0B8A54C1ED9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4B3B-460F-AB4F-0B8A54C1ED9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4B3B-460F-AB4F-0B8A54C1ED90}"/>
              </c:ext>
            </c:extLst>
          </c:dPt>
          <c:dPt>
            <c:idx val="9"/>
            <c:invertIfNegative val="0"/>
            <c:bubble3D val="0"/>
            <c:spPr>
              <a:solidFill>
                <a:srgbClr val="F0F60E"/>
              </a:solidFill>
            </c:spPr>
            <c:extLst>
              <c:ext xmlns:c16="http://schemas.microsoft.com/office/drawing/2014/chart" uri="{C3380CC4-5D6E-409C-BE32-E72D297353CC}">
                <c16:uniqueId val="{00000011-4B3B-460F-AB4F-0B8A54C1ED90}"/>
              </c:ext>
            </c:extLst>
          </c:dPt>
          <c:dPt>
            <c:idx val="10"/>
            <c:invertIfNegative val="0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13-4B3B-460F-AB4F-0B8A54C1ED90}"/>
              </c:ext>
            </c:extLst>
          </c:dPt>
          <c:dPt>
            <c:idx val="11"/>
            <c:invertIfNegative val="0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15-4B3B-460F-AB4F-0B8A54C1ED90}"/>
              </c:ext>
            </c:extLst>
          </c:dPt>
          <c:dPt>
            <c:idx val="1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4B3B-460F-AB4F-0B8A54C1ED90}"/>
              </c:ext>
            </c:extLst>
          </c:dPt>
          <c:cat>
            <c:strRef>
              <c:f>OIL!$M$4:$M$8</c:f>
              <c:strCache>
                <c:ptCount val="5"/>
                <c:pt idx="0">
                  <c:v>Petrotal</c:v>
                </c:pt>
                <c:pt idx="1">
                  <c:v>Resertec</c:v>
                </c:pt>
                <c:pt idx="2">
                  <c:v>Valero</c:v>
                </c:pt>
                <c:pt idx="3">
                  <c:v>TDP</c:v>
                </c:pt>
                <c:pt idx="4">
                  <c:v>Linde</c:v>
                </c:pt>
              </c:strCache>
            </c:strRef>
          </c:cat>
          <c:val>
            <c:numRef>
              <c:f>OIL!$N$4:$N$8</c:f>
              <c:numCache>
                <c:formatCode>#,##0.00</c:formatCode>
                <c:ptCount val="5"/>
                <c:pt idx="0">
                  <c:v>197050</c:v>
                </c:pt>
                <c:pt idx="1">
                  <c:v>0</c:v>
                </c:pt>
                <c:pt idx="2">
                  <c:v>9120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B3B-460F-AB4F-0B8A54C1E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0026896"/>
        <c:axId val="270023632"/>
        <c:axId val="0"/>
      </c:bar3DChart>
      <c:catAx>
        <c:axId val="270026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70023632"/>
        <c:crosses val="autoZero"/>
        <c:auto val="1"/>
        <c:lblAlgn val="ctr"/>
        <c:lblOffset val="100"/>
        <c:noMultiLvlLbl val="0"/>
      </c:catAx>
      <c:valAx>
        <c:axId val="270023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/>
                </a:pPr>
                <a:r>
                  <a:rPr lang="en-US"/>
                  <a:t>US$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7002689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s-ES"/>
            </a:pPr>
            <a:endParaRPr lang="es-ES"/>
          </a:p>
        </c:txPr>
      </c:dTable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% Por Desglose Planificado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9265583989501311"/>
                  <c:y val="-0.2543491523019081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72-4549-A192-C027543FC34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OIL!$N$28:$N$31</c:f>
              <c:strCache>
                <c:ptCount val="4"/>
                <c:pt idx="0">
                  <c:v>costo</c:v>
                </c:pt>
                <c:pt idx="1">
                  <c:v>HH Propia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OIL!$O$28:$O$31</c:f>
              <c:numCache>
                <c:formatCode>#,##0.00</c:formatCode>
                <c:ptCount val="4"/>
                <c:pt idx="0">
                  <c:v>51207.130000000005</c:v>
                </c:pt>
                <c:pt idx="1">
                  <c:v>153720</c:v>
                </c:pt>
                <c:pt idx="2">
                  <c:v>0</c:v>
                </c:pt>
                <c:pt idx="3">
                  <c:v>29711.67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2-4549-A192-C027543FC34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/>
              <a:t>% Montos de Ordenes de Compra</a:t>
            </a:r>
            <a:r>
              <a:rPr lang="es-ES" baseline="0"/>
              <a:t> por Cliente Sector Industria</a:t>
            </a:r>
            <a:endParaRPr lang="es-E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027777777777778"/>
          <c:y val="0.38490995917177018"/>
          <c:w val="0.81388888888888911"/>
          <c:h val="0.55865230387868181"/>
        </c:manualLayout>
      </c:layout>
      <c:pie3DChart>
        <c:varyColors val="1"/>
        <c:ser>
          <c:idx val="0"/>
          <c:order val="0"/>
          <c:explosion val="17"/>
          <c:dLbls>
            <c:dLbl>
              <c:idx val="0"/>
              <c:layout>
                <c:manualLayout>
                  <c:x val="-0.20356178369270098"/>
                  <c:y val="-2.98003394066386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2C-43E4-AFC0-31EB531C1387}"/>
                </c:ext>
              </c:extLst>
            </c:dLbl>
            <c:dLbl>
              <c:idx val="1"/>
              <c:layout>
                <c:manualLayout>
                  <c:x val="0.21050591567620314"/>
                  <c:y val="-0.1561117750094128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2C-43E4-AFC0-31EB531C1387}"/>
                </c:ext>
              </c:extLst>
            </c:dLbl>
            <c:dLbl>
              <c:idx val="2"/>
              <c:layout>
                <c:manualLayout>
                  <c:x val="-6.3768595190661428E-2"/>
                  <c:y val="-7.16335717910521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2C-43E4-AFC0-31EB531C1387}"/>
                </c:ext>
              </c:extLst>
            </c:dLbl>
            <c:dLbl>
              <c:idx val="3"/>
              <c:layout>
                <c:manualLayout>
                  <c:x val="-9.488464544341596E-2"/>
                  <c:y val="-4.80977403812049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2C-43E4-AFC0-31EB531C1387}"/>
                </c:ext>
              </c:extLst>
            </c:dLbl>
            <c:dLbl>
              <c:idx val="4"/>
              <c:layout>
                <c:manualLayout>
                  <c:x val="-8.9961104259557917E-2"/>
                  <c:y val="-4.3304794800857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2C-43E4-AFC0-31EB531C1387}"/>
                </c:ext>
              </c:extLst>
            </c:dLbl>
            <c:dLbl>
              <c:idx val="5"/>
              <c:layout>
                <c:manualLayout>
                  <c:x val="8.1850009712641347E-3"/>
                  <c:y val="-0.106917893059625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2C-43E4-AFC0-31EB531C1387}"/>
                </c:ext>
              </c:extLst>
            </c:dLbl>
            <c:dLbl>
              <c:idx val="6"/>
              <c:layout>
                <c:manualLayout>
                  <c:x val="-7.2749942401778095E-2"/>
                  <c:y val="-4.40125027755478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2C-43E4-AFC0-31EB531C1387}"/>
                </c:ext>
              </c:extLst>
            </c:dLbl>
            <c:dLbl>
              <c:idx val="7"/>
              <c:layout>
                <c:manualLayout>
                  <c:x val="-9.4532279850560855E-2"/>
                  <c:y val="-9.359910271519747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2C-43E4-AFC0-31EB531C1387}"/>
                </c:ext>
              </c:extLst>
            </c:dLbl>
            <c:dLbl>
              <c:idx val="8"/>
              <c:layout>
                <c:manualLayout>
                  <c:x val="0.11178355717583495"/>
                  <c:y val="-8.5394184729078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D2C-43E4-AFC0-31EB531C1387}"/>
                </c:ext>
              </c:extLst>
            </c:dLbl>
            <c:dLbl>
              <c:idx val="11"/>
              <c:layout>
                <c:manualLayout>
                  <c:x val="1.3463363954505687E-2"/>
                  <c:y val="-8.61781860600758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2C-43E4-AFC0-31EB531C1387}"/>
                </c:ext>
              </c:extLst>
            </c:dLbl>
            <c:dLbl>
              <c:idx val="12"/>
              <c:layout>
                <c:manualLayout>
                  <c:x val="9.7828083989501255E-2"/>
                  <c:y val="-9.03663232572119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D2C-43E4-AFC0-31EB531C1387}"/>
                </c:ext>
              </c:extLst>
            </c:dLbl>
            <c:dLbl>
              <c:idx val="13"/>
              <c:layout>
                <c:manualLayout>
                  <c:x val="0.10704002624671916"/>
                  <c:y val="-2.0380212890055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D2C-43E4-AFC0-31EB531C13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IND!$M$4:$M$5</c:f>
              <c:strCache>
                <c:ptCount val="2"/>
                <c:pt idx="0">
                  <c:v>Mondelez</c:v>
                </c:pt>
                <c:pt idx="1">
                  <c:v>KCCP</c:v>
                </c:pt>
              </c:strCache>
            </c:strRef>
          </c:cat>
          <c:val>
            <c:numRef>
              <c:f>IND!$N$4:$N$5</c:f>
              <c:numCache>
                <c:formatCode>#,##0.00</c:formatCode>
                <c:ptCount val="2"/>
                <c:pt idx="0">
                  <c:v>28020.05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2C-43E4-AFC0-31EB531C13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baseline="0">
                <a:effectLst/>
              </a:rPr>
              <a:t>Montos de OC por Empresa Area Industria</a:t>
            </a:r>
            <a:endParaRPr lang="es-E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IND!$N$3</c:f>
              <c:strCache>
                <c:ptCount val="1"/>
                <c:pt idx="0">
                  <c:v>Monto O/C</c:v>
                </c:pt>
              </c:strCache>
            </c:strRef>
          </c:tx>
          <c:spPr>
            <a:solidFill>
              <a:srgbClr val="FF66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F2D-4EDC-9DC5-31F7FB0F43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F2D-4EDC-9DC5-31F7FB0F434D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5F2D-4EDC-9DC5-31F7FB0F43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5F2D-4EDC-9DC5-31F7FB0F434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5F2D-4EDC-9DC5-31F7FB0F434D}"/>
              </c:ext>
            </c:extLst>
          </c:dPt>
          <c:dPt>
            <c:idx val="5"/>
            <c:invertIfNegative val="0"/>
            <c:bubble3D val="0"/>
            <c:spPr>
              <a:solidFill>
                <a:srgbClr val="FF5050"/>
              </a:solidFill>
            </c:spPr>
            <c:extLst>
              <c:ext xmlns:c16="http://schemas.microsoft.com/office/drawing/2014/chart" uri="{C3380CC4-5D6E-409C-BE32-E72D297353CC}">
                <c16:uniqueId val="{0000000B-5F2D-4EDC-9DC5-31F7FB0F434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5F2D-4EDC-9DC5-31F7FB0F434D}"/>
              </c:ext>
            </c:extLst>
          </c:dPt>
          <c:dPt>
            <c:idx val="7"/>
            <c:invertIfNegative val="0"/>
            <c:bubble3D val="0"/>
            <c:spPr>
              <a:solidFill>
                <a:srgbClr val="FF3399"/>
              </a:solidFill>
            </c:spPr>
            <c:extLst>
              <c:ext xmlns:c16="http://schemas.microsoft.com/office/drawing/2014/chart" uri="{C3380CC4-5D6E-409C-BE32-E72D297353CC}">
                <c16:uniqueId val="{0000000F-5F2D-4EDC-9DC5-31F7FB0F434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5F2D-4EDC-9DC5-31F7FB0F434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5F2D-4EDC-9DC5-31F7FB0F434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5F2D-4EDC-9DC5-31F7FB0F434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5F2D-4EDC-9DC5-31F7FB0F434D}"/>
              </c:ext>
            </c:extLst>
          </c:dPt>
          <c:dPt>
            <c:idx val="12"/>
            <c:invertIfNegative val="0"/>
            <c:bubble3D val="0"/>
            <c:spPr>
              <a:solidFill>
                <a:srgbClr val="996600"/>
              </a:solidFill>
            </c:spPr>
            <c:extLst>
              <c:ext xmlns:c16="http://schemas.microsoft.com/office/drawing/2014/chart" uri="{C3380CC4-5D6E-409C-BE32-E72D297353CC}">
                <c16:uniqueId val="{00000019-5F2D-4EDC-9DC5-31F7FB0F434D}"/>
              </c:ext>
            </c:extLst>
          </c:dPt>
          <c:dPt>
            <c:idx val="14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1B-5F2D-4EDC-9DC5-31F7FB0F434D}"/>
              </c:ext>
            </c:extLst>
          </c:dPt>
          <c:dPt>
            <c:idx val="15"/>
            <c:invertIfNegative val="0"/>
            <c:bubble3D val="0"/>
            <c:spPr>
              <a:solidFill>
                <a:srgbClr val="9966FF"/>
              </a:solidFill>
            </c:spPr>
            <c:extLst>
              <c:ext xmlns:c16="http://schemas.microsoft.com/office/drawing/2014/chart" uri="{C3380CC4-5D6E-409C-BE32-E72D297353CC}">
                <c16:uniqueId val="{0000001D-5F2D-4EDC-9DC5-31F7FB0F434D}"/>
              </c:ext>
            </c:extLst>
          </c:dPt>
          <c:dPt>
            <c:idx val="16"/>
            <c:invertIfNegative val="0"/>
            <c:bubble3D val="0"/>
            <c:spPr>
              <a:solidFill>
                <a:srgbClr val="00FFCC"/>
              </a:solidFill>
            </c:spPr>
            <c:extLst>
              <c:ext xmlns:c16="http://schemas.microsoft.com/office/drawing/2014/chart" uri="{C3380CC4-5D6E-409C-BE32-E72D297353CC}">
                <c16:uniqueId val="{0000001F-5F2D-4EDC-9DC5-31F7FB0F434D}"/>
              </c:ext>
            </c:extLst>
          </c:dPt>
          <c:cat>
            <c:strRef>
              <c:f>IND!$M$4:$M$5</c:f>
              <c:strCache>
                <c:ptCount val="2"/>
                <c:pt idx="0">
                  <c:v>Mondelez</c:v>
                </c:pt>
                <c:pt idx="1">
                  <c:v>KCCP</c:v>
                </c:pt>
              </c:strCache>
            </c:strRef>
          </c:cat>
          <c:val>
            <c:numRef>
              <c:f>IND!$N$4:$N$5</c:f>
              <c:numCache>
                <c:formatCode>#,##0.00</c:formatCode>
                <c:ptCount val="2"/>
                <c:pt idx="0">
                  <c:v>28020.05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F2D-4EDC-9DC5-31F7FB0F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0029616"/>
        <c:axId val="270016016"/>
        <c:axId val="0"/>
      </c:bar3DChart>
      <c:catAx>
        <c:axId val="27002961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70016016"/>
        <c:crosses val="autoZero"/>
        <c:auto val="1"/>
        <c:lblAlgn val="ctr"/>
        <c:lblOffset val="100"/>
        <c:noMultiLvlLbl val="0"/>
      </c:catAx>
      <c:valAx>
        <c:axId val="270016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/>
                </a:pPr>
                <a:r>
                  <a:rPr lang="en-US"/>
                  <a:t>US$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27002961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s-ES"/>
            </a:pPr>
            <a:endParaRPr lang="es-ES"/>
          </a:p>
        </c:txPr>
      </c:dTable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% Por Desglose Planificado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21271325459317586"/>
                  <c:y val="-0.147928696412948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10-436F-85EA-771DAB7D70C0}"/>
                </c:ext>
              </c:extLst>
            </c:dLbl>
            <c:dLbl>
              <c:idx val="1"/>
              <c:layout>
                <c:manualLayout>
                  <c:x val="0.15645669291338582"/>
                  <c:y val="-0.143437955672207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10-436F-85EA-771DAB7D70C0}"/>
                </c:ext>
              </c:extLst>
            </c:dLbl>
            <c:dLbl>
              <c:idx val="2"/>
              <c:layout>
                <c:manualLayout>
                  <c:x val="-3.221095800524934E-2"/>
                  <c:y val="-8.41586468358121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10-436F-85EA-771DAB7D70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IND!$N$25:$N$28</c:f>
              <c:strCache>
                <c:ptCount val="4"/>
                <c:pt idx="0">
                  <c:v>costo</c:v>
                </c:pt>
                <c:pt idx="1">
                  <c:v>HH  Propia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IND!$O$25:$O$28</c:f>
              <c:numCache>
                <c:formatCode>#,##0.00</c:formatCode>
                <c:ptCount val="4"/>
                <c:pt idx="0">
                  <c:v>30378.86</c:v>
                </c:pt>
                <c:pt idx="1">
                  <c:v>22203.78</c:v>
                </c:pt>
                <c:pt idx="2">
                  <c:v>0</c:v>
                </c:pt>
                <c:pt idx="3">
                  <c:v>5647.55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10-436F-85EA-771DAB7D70C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s-E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baseline="0">
                <a:effectLst/>
              </a:rPr>
              <a:t>Montos de OC por Empresa - Safety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070883075099485"/>
          <c:y val="0.19931722076407116"/>
          <c:w val="0.86929116924900518"/>
          <c:h val="0.5107486811673293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BCD-4939-BC71-67B1563C22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BCD-4939-BC71-67B1563C22B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BCD-4939-BC71-67B1563C22B0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7-3BCD-4939-BC71-67B1563C22B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3BCD-4939-BC71-67B1563C22B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3BCD-4939-BC71-67B1563C22B0}"/>
              </c:ext>
            </c:extLst>
          </c:dPt>
          <c:dPt>
            <c:idx val="7"/>
            <c:invertIfNegative val="0"/>
            <c:bubble3D val="0"/>
            <c:spPr>
              <a:solidFill>
                <a:srgbClr val="9966FF"/>
              </a:solidFill>
            </c:spPr>
            <c:extLst>
              <c:ext xmlns:c16="http://schemas.microsoft.com/office/drawing/2014/chart" uri="{C3380CC4-5D6E-409C-BE32-E72D297353CC}">
                <c16:uniqueId val="{0000000D-3BCD-4939-BC71-67B1563C22B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3BCD-4939-BC71-67B1563C22B0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11-3BCD-4939-BC71-67B1563C22B0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3-3BCD-4939-BC71-67B1563C22B0}"/>
              </c:ext>
            </c:extLst>
          </c:dPt>
          <c:dPt>
            <c:idx val="12"/>
            <c:invertIfNegative val="0"/>
            <c:bubble3D val="0"/>
            <c:spPr>
              <a:solidFill>
                <a:srgbClr val="FF5050"/>
              </a:solidFill>
            </c:spPr>
            <c:extLst>
              <c:ext xmlns:c16="http://schemas.microsoft.com/office/drawing/2014/chart" uri="{C3380CC4-5D6E-409C-BE32-E72D297353CC}">
                <c16:uniqueId val="{00000015-3BCD-4939-BC71-67B1563C22B0}"/>
              </c:ext>
            </c:extLst>
          </c:dPt>
          <c:cat>
            <c:strRef>
              <c:f>SFY!$M$4:$M$7</c:f>
              <c:strCache>
                <c:ptCount val="4"/>
                <c:pt idx="0">
                  <c:v>Abboott</c:v>
                </c:pt>
                <c:pt idx="1">
                  <c:v>Copeinca</c:v>
                </c:pt>
                <c:pt idx="2">
                  <c:v>Savia</c:v>
                </c:pt>
                <c:pt idx="3">
                  <c:v>Mondelez</c:v>
                </c:pt>
              </c:strCache>
            </c:strRef>
          </c:cat>
          <c:val>
            <c:numRef>
              <c:f>SFY!$N$4:$N$7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BCD-4939-BC71-67B1563C2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778736"/>
        <c:axId val="310790704"/>
        <c:axId val="0"/>
      </c:bar3DChart>
      <c:catAx>
        <c:axId val="310778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310790704"/>
        <c:crosses val="autoZero"/>
        <c:auto val="1"/>
        <c:lblAlgn val="ctr"/>
        <c:lblOffset val="100"/>
        <c:noMultiLvlLbl val="0"/>
      </c:catAx>
      <c:valAx>
        <c:axId val="310790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/>
                </a:pPr>
                <a:r>
                  <a:rPr lang="en-US"/>
                  <a:t>US$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S"/>
          </a:p>
        </c:txPr>
        <c:crossAx val="3107787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s-ES"/>
            </a:pPr>
            <a:endParaRPr lang="es-ES"/>
          </a:p>
        </c:txPr>
      </c:dTable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/>
            </a:pPr>
            <a:r>
              <a:rPr lang="es-ES" sz="1800" b="1" i="0" baseline="0">
                <a:effectLst/>
              </a:rPr>
              <a:t>% Montos de Ordenes de Compra por Cliente Sector Safety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4362745098039214E-2"/>
          <c:y val="0.34324329250510355"/>
          <c:w val="0.82107843137254899"/>
          <c:h val="0.55865230387868181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10512389995368226"/>
                  <c:y val="5.87237532808398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C-4FDA-AB7B-0848B42E9B7E}"/>
                </c:ext>
              </c:extLst>
            </c:dLbl>
            <c:dLbl>
              <c:idx val="1"/>
              <c:layout>
                <c:manualLayout>
                  <c:x val="-5.0644781534661107E-2"/>
                  <c:y val="8.053003791192767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723-42FC-A8E2-30057C7B7149}"/>
                </c:ext>
              </c:extLst>
            </c:dLbl>
            <c:dLbl>
              <c:idx val="5"/>
              <c:layout>
                <c:manualLayout>
                  <c:x val="3.3989887293500075E-2"/>
                  <c:y val="9.283318751822689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4C-4FDA-AB7B-0848B42E9B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SFY!$M$3:$M$7</c:f>
              <c:strCache>
                <c:ptCount val="5"/>
                <c:pt idx="0">
                  <c:v>Empresa</c:v>
                </c:pt>
                <c:pt idx="1">
                  <c:v>Abboott</c:v>
                </c:pt>
                <c:pt idx="2">
                  <c:v>Copeinca</c:v>
                </c:pt>
                <c:pt idx="3">
                  <c:v>Savia</c:v>
                </c:pt>
                <c:pt idx="4">
                  <c:v>Mondelez</c:v>
                </c:pt>
              </c:strCache>
            </c:strRef>
          </c:cat>
          <c:val>
            <c:numRef>
              <c:f>SFY!$N$3:$N$7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4C-4FDA-AB7B-0848B42E9B7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% Por Desglose Planificado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SFY!$N$16:$N$19</c:f>
              <c:strCache>
                <c:ptCount val="4"/>
                <c:pt idx="0">
                  <c:v>costo</c:v>
                </c:pt>
                <c:pt idx="1">
                  <c:v>HH Propia</c:v>
                </c:pt>
                <c:pt idx="2">
                  <c:v>Imprevisto</c:v>
                </c:pt>
                <c:pt idx="3">
                  <c:v>Utilidad</c:v>
                </c:pt>
              </c:strCache>
            </c:strRef>
          </c:cat>
          <c:val>
            <c:numRef>
              <c:f>SFY!$O$16:$O$19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C-417E-AEB2-CD8377E3982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Montos</a:t>
            </a:r>
            <a:r>
              <a:rPr lang="es-ES" baseline="0"/>
              <a:t> Ordenes Mes a Mes</a:t>
            </a:r>
            <a:endParaRPr lang="es-E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555014788838823E-2"/>
          <c:y val="0.138263512827632"/>
          <c:w val="0.90244498521116123"/>
          <c:h val="0.5413307512284388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2011-2026'!$A$39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2011-2026'!$B$39:$M$39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8081.84</c:v>
                </c:pt>
                <c:pt idx="3">
                  <c:v>1225.4545454545455</c:v>
                </c:pt>
                <c:pt idx="4">
                  <c:v>0</c:v>
                </c:pt>
                <c:pt idx="5">
                  <c:v>1996</c:v>
                </c:pt>
                <c:pt idx="6">
                  <c:v>840.55</c:v>
                </c:pt>
                <c:pt idx="7">
                  <c:v>34797.82</c:v>
                </c:pt>
                <c:pt idx="8">
                  <c:v>0</c:v>
                </c:pt>
                <c:pt idx="9">
                  <c:v>111991.51</c:v>
                </c:pt>
                <c:pt idx="10">
                  <c:v>6400</c:v>
                </c:pt>
                <c:pt idx="11">
                  <c:v>9116.67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D-4EAB-AAC9-D55C9F8205F3}"/>
            </c:ext>
          </c:extLst>
        </c:ser>
        <c:ser>
          <c:idx val="1"/>
          <c:order val="1"/>
          <c:tx>
            <c:strRef>
              <c:f>' 2011-2026'!$A$40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2011-2026'!$B$40:$M$40</c:f>
              <c:numCache>
                <c:formatCode>#,##0</c:formatCode>
                <c:ptCount val="12"/>
                <c:pt idx="0">
                  <c:v>288.75</c:v>
                </c:pt>
                <c:pt idx="1">
                  <c:v>16966.009999999998</c:v>
                </c:pt>
                <c:pt idx="2">
                  <c:v>11996.84</c:v>
                </c:pt>
                <c:pt idx="3">
                  <c:v>10473.799999999999</c:v>
                </c:pt>
                <c:pt idx="4">
                  <c:v>23696.62</c:v>
                </c:pt>
                <c:pt idx="5">
                  <c:v>17358.2</c:v>
                </c:pt>
                <c:pt idx="6">
                  <c:v>11531.73</c:v>
                </c:pt>
                <c:pt idx="7">
                  <c:v>11142.81</c:v>
                </c:pt>
                <c:pt idx="8">
                  <c:v>3372.72</c:v>
                </c:pt>
                <c:pt idx="9">
                  <c:v>370.5</c:v>
                </c:pt>
                <c:pt idx="10">
                  <c:v>38269.660000000003</c:v>
                </c:pt>
                <c:pt idx="11">
                  <c:v>20800.84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D-4EAB-AAC9-D55C9F8205F3}"/>
            </c:ext>
          </c:extLst>
        </c:ser>
        <c:ser>
          <c:idx val="2"/>
          <c:order val="2"/>
          <c:tx>
            <c:strRef>
              <c:f>' 2011-2026'!$A$41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2011-2026'!$B$41:$M$41</c:f>
              <c:numCache>
                <c:formatCode>#,##0</c:formatCode>
                <c:ptCount val="12"/>
                <c:pt idx="0">
                  <c:v>14551.34</c:v>
                </c:pt>
                <c:pt idx="1">
                  <c:v>19427.05</c:v>
                </c:pt>
                <c:pt idx="2">
                  <c:v>2262</c:v>
                </c:pt>
                <c:pt idx="3">
                  <c:v>39092.379999999997</c:v>
                </c:pt>
                <c:pt idx="4">
                  <c:v>31540.28</c:v>
                </c:pt>
                <c:pt idx="5">
                  <c:v>19834.150000000001</c:v>
                </c:pt>
                <c:pt idx="6">
                  <c:v>3903.08</c:v>
                </c:pt>
                <c:pt idx="7">
                  <c:v>49596.05</c:v>
                </c:pt>
                <c:pt idx="8">
                  <c:v>11850.33</c:v>
                </c:pt>
                <c:pt idx="9">
                  <c:v>28657.57</c:v>
                </c:pt>
                <c:pt idx="10">
                  <c:v>34503.31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D-4EAB-AAC9-D55C9F8205F3}"/>
            </c:ext>
          </c:extLst>
        </c:ser>
        <c:ser>
          <c:idx val="3"/>
          <c:order val="3"/>
          <c:tx>
            <c:strRef>
              <c:f>' 2011-2026'!$A$42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2011-2026'!$B$42:$M$42</c:f>
              <c:numCache>
                <c:formatCode>#,##0</c:formatCode>
                <c:ptCount val="12"/>
                <c:pt idx="0">
                  <c:v>35533.57</c:v>
                </c:pt>
                <c:pt idx="1">
                  <c:v>3500</c:v>
                </c:pt>
                <c:pt idx="2">
                  <c:v>13796</c:v>
                </c:pt>
                <c:pt idx="3">
                  <c:v>6360</c:v>
                </c:pt>
                <c:pt idx="4">
                  <c:v>34670</c:v>
                </c:pt>
                <c:pt idx="5">
                  <c:v>20700</c:v>
                </c:pt>
                <c:pt idx="6">
                  <c:v>27649.9</c:v>
                </c:pt>
                <c:pt idx="7">
                  <c:v>12924.2</c:v>
                </c:pt>
                <c:pt idx="8">
                  <c:v>71445.259999999995</c:v>
                </c:pt>
                <c:pt idx="9">
                  <c:v>125296.03</c:v>
                </c:pt>
                <c:pt idx="10">
                  <c:v>19935.009999999998</c:v>
                </c:pt>
                <c:pt idx="11">
                  <c:v>19950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D-4EAB-AAC9-D55C9F8205F3}"/>
            </c:ext>
          </c:extLst>
        </c:ser>
        <c:ser>
          <c:idx val="4"/>
          <c:order val="4"/>
          <c:tx>
            <c:strRef>
              <c:f>' 2011-2026'!$A$43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2011-2026'!$B$43:$M$43</c:f>
              <c:numCache>
                <c:formatCode>#,##0</c:formatCode>
                <c:ptCount val="12"/>
                <c:pt idx="0">
                  <c:v>350</c:v>
                </c:pt>
                <c:pt idx="1">
                  <c:v>520</c:v>
                </c:pt>
                <c:pt idx="2">
                  <c:v>48338.97</c:v>
                </c:pt>
                <c:pt idx="3">
                  <c:v>1619.9</c:v>
                </c:pt>
                <c:pt idx="4">
                  <c:v>400</c:v>
                </c:pt>
                <c:pt idx="5">
                  <c:v>55726.74</c:v>
                </c:pt>
                <c:pt idx="6">
                  <c:v>11186.8</c:v>
                </c:pt>
                <c:pt idx="7">
                  <c:v>32656.2</c:v>
                </c:pt>
                <c:pt idx="8">
                  <c:v>40006.199999999997</c:v>
                </c:pt>
                <c:pt idx="9">
                  <c:v>7070.13</c:v>
                </c:pt>
                <c:pt idx="10">
                  <c:v>12900</c:v>
                </c:pt>
                <c:pt idx="11">
                  <c:v>59189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D-4EAB-AAC9-D55C9F8205F3}"/>
            </c:ext>
          </c:extLst>
        </c:ser>
        <c:ser>
          <c:idx val="5"/>
          <c:order val="5"/>
          <c:tx>
            <c:strRef>
              <c:f>' 2011-2026'!$A$44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2011-2026'!$B$44:$M$44</c:f>
              <c:numCache>
                <c:formatCode>#,##0</c:formatCode>
                <c:ptCount val="12"/>
                <c:pt idx="0">
                  <c:v>72001.95</c:v>
                </c:pt>
                <c:pt idx="1">
                  <c:v>91133.37</c:v>
                </c:pt>
                <c:pt idx="2">
                  <c:v>28155.599999999999</c:v>
                </c:pt>
                <c:pt idx="3">
                  <c:v>1222.5</c:v>
                </c:pt>
                <c:pt idx="4">
                  <c:v>600</c:v>
                </c:pt>
                <c:pt idx="5">
                  <c:v>3688.4</c:v>
                </c:pt>
                <c:pt idx="6">
                  <c:v>28031.200000000001</c:v>
                </c:pt>
                <c:pt idx="7">
                  <c:v>15845.01</c:v>
                </c:pt>
                <c:pt idx="8">
                  <c:v>4185.51</c:v>
                </c:pt>
                <c:pt idx="9">
                  <c:v>12128.1</c:v>
                </c:pt>
                <c:pt idx="10">
                  <c:v>3607.08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D-4EAB-AAC9-D55C9F8205F3}"/>
            </c:ext>
          </c:extLst>
        </c:ser>
        <c:ser>
          <c:idx val="6"/>
          <c:order val="6"/>
          <c:tx>
            <c:strRef>
              <c:f>' 2011-2026'!$A$45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2011-2026'!$B$45:$M$45</c:f>
              <c:numCache>
                <c:formatCode>#,##0</c:formatCode>
                <c:ptCount val="12"/>
                <c:pt idx="0">
                  <c:v>64761.73</c:v>
                </c:pt>
                <c:pt idx="1">
                  <c:v>133870.17000000001</c:v>
                </c:pt>
                <c:pt idx="2">
                  <c:v>24456.54</c:v>
                </c:pt>
                <c:pt idx="3">
                  <c:v>1982</c:v>
                </c:pt>
                <c:pt idx="4">
                  <c:v>41474</c:v>
                </c:pt>
                <c:pt idx="5">
                  <c:v>5605.16</c:v>
                </c:pt>
                <c:pt idx="6">
                  <c:v>154797.51</c:v>
                </c:pt>
                <c:pt idx="7">
                  <c:v>147549.01</c:v>
                </c:pt>
                <c:pt idx="8">
                  <c:v>8547.44</c:v>
                </c:pt>
                <c:pt idx="9">
                  <c:v>2414.9299999999998</c:v>
                </c:pt>
                <c:pt idx="10">
                  <c:v>65263.49</c:v>
                </c:pt>
                <c:pt idx="11">
                  <c:v>4153.4399999999996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BD-4EAB-AAC9-D55C9F8205F3}"/>
            </c:ext>
          </c:extLst>
        </c:ser>
        <c:ser>
          <c:idx val="7"/>
          <c:order val="7"/>
          <c:tx>
            <c:strRef>
              <c:f>' 2011-2026'!$A$46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2011-2026'!$B$46:$M$46</c:f>
              <c:numCache>
                <c:formatCode>#,##0</c:formatCode>
                <c:ptCount val="12"/>
                <c:pt idx="0">
                  <c:v>52182.85</c:v>
                </c:pt>
                <c:pt idx="1">
                  <c:v>49954.11</c:v>
                </c:pt>
                <c:pt idx="2">
                  <c:v>58985.66</c:v>
                </c:pt>
                <c:pt idx="3">
                  <c:v>22090.560000000001</c:v>
                </c:pt>
                <c:pt idx="4">
                  <c:v>142594.25</c:v>
                </c:pt>
                <c:pt idx="5">
                  <c:v>5134</c:v>
                </c:pt>
                <c:pt idx="6">
                  <c:v>2000.7</c:v>
                </c:pt>
                <c:pt idx="7">
                  <c:v>17059.71</c:v>
                </c:pt>
                <c:pt idx="8">
                  <c:v>18400</c:v>
                </c:pt>
                <c:pt idx="9">
                  <c:v>10400</c:v>
                </c:pt>
                <c:pt idx="10">
                  <c:v>88735.85</c:v>
                </c:pt>
                <c:pt idx="11">
                  <c:v>6490.22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0-42E3-B968-ECF962CAF6B0}"/>
            </c:ext>
          </c:extLst>
        </c:ser>
        <c:ser>
          <c:idx val="8"/>
          <c:order val="8"/>
          <c:tx>
            <c:strRef>
              <c:f>' 2011-2026'!$A$47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2011-2026'!$B$47:$M$47</c:f>
              <c:numCache>
                <c:formatCode>#,##0</c:formatCode>
                <c:ptCount val="12"/>
                <c:pt idx="0">
                  <c:v>11400.28</c:v>
                </c:pt>
                <c:pt idx="1">
                  <c:v>9990</c:v>
                </c:pt>
                <c:pt idx="2">
                  <c:v>0</c:v>
                </c:pt>
                <c:pt idx="3">
                  <c:v>2682.46</c:v>
                </c:pt>
                <c:pt idx="4">
                  <c:v>95953.7</c:v>
                </c:pt>
                <c:pt idx="5">
                  <c:v>22179.66</c:v>
                </c:pt>
                <c:pt idx="6">
                  <c:v>0</c:v>
                </c:pt>
                <c:pt idx="7">
                  <c:v>9915.6</c:v>
                </c:pt>
                <c:pt idx="8">
                  <c:v>800</c:v>
                </c:pt>
                <c:pt idx="9">
                  <c:v>850</c:v>
                </c:pt>
                <c:pt idx="10">
                  <c:v>11491.8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3-4626-99AC-0F10B1BFE256}"/>
            </c:ext>
          </c:extLst>
        </c:ser>
        <c:ser>
          <c:idx val="9"/>
          <c:order val="9"/>
          <c:tx>
            <c:strRef>
              <c:f>' 2011-2026'!$A$48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2011-2026'!$B$48:$M$48</c:f>
              <c:numCache>
                <c:formatCode>#,##0</c:formatCode>
                <c:ptCount val="12"/>
                <c:pt idx="0">
                  <c:v>23660.59</c:v>
                </c:pt>
                <c:pt idx="1">
                  <c:v>33033.160000000003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16924.46</c:v>
                </c:pt>
                <c:pt idx="7">
                  <c:v>110</c:v>
                </c:pt>
                <c:pt idx="8">
                  <c:v>1354.46</c:v>
                </c:pt>
                <c:pt idx="9">
                  <c:v>1452.34</c:v>
                </c:pt>
                <c:pt idx="10">
                  <c:v>3544.38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E-4235-BB85-37583BBA52C9}"/>
            </c:ext>
          </c:extLst>
        </c:ser>
        <c:ser>
          <c:idx val="10"/>
          <c:order val="10"/>
          <c:tx>
            <c:strRef>
              <c:f>' 2011-2026'!$A$49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2011-2026'!$B$49:$M$49</c:f>
              <c:numCache>
                <c:formatCode>#,##0</c:formatCode>
                <c:ptCount val="12"/>
                <c:pt idx="0">
                  <c:v>23852.65</c:v>
                </c:pt>
                <c:pt idx="1">
                  <c:v>0</c:v>
                </c:pt>
                <c:pt idx="2">
                  <c:v>1104.57</c:v>
                </c:pt>
                <c:pt idx="3">
                  <c:v>4337.71</c:v>
                </c:pt>
                <c:pt idx="4">
                  <c:v>0</c:v>
                </c:pt>
                <c:pt idx="5">
                  <c:v>0</c:v>
                </c:pt>
                <c:pt idx="6">
                  <c:v>155</c:v>
                </c:pt>
                <c:pt idx="7">
                  <c:v>203786.44</c:v>
                </c:pt>
                <c:pt idx="8">
                  <c:v>127.78</c:v>
                </c:pt>
                <c:pt idx="9">
                  <c:v>7402.35</c:v>
                </c:pt>
                <c:pt idx="10">
                  <c:v>2438</c:v>
                </c:pt>
                <c:pt idx="11">
                  <c:v>14071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E-4235-BB85-37583BBA52C9}"/>
            </c:ext>
          </c:extLst>
        </c:ser>
        <c:ser>
          <c:idx val="11"/>
          <c:order val="11"/>
          <c:tx>
            <c:strRef>
              <c:f>' 2011-2026'!$A$50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2011-2026'!$B$50:$M$50</c:f>
              <c:numCache>
                <c:formatCode>#,##0</c:formatCode>
                <c:ptCount val="12"/>
                <c:pt idx="0">
                  <c:v>0</c:v>
                </c:pt>
                <c:pt idx="1">
                  <c:v>1801.81</c:v>
                </c:pt>
                <c:pt idx="2">
                  <c:v>6522.74</c:v>
                </c:pt>
                <c:pt idx="3">
                  <c:v>10289.540000000001</c:v>
                </c:pt>
                <c:pt idx="4">
                  <c:v>471.6</c:v>
                </c:pt>
                <c:pt idx="5">
                  <c:v>14709</c:v>
                </c:pt>
                <c:pt idx="6">
                  <c:v>0</c:v>
                </c:pt>
                <c:pt idx="7">
                  <c:v>9710</c:v>
                </c:pt>
                <c:pt idx="8">
                  <c:v>100</c:v>
                </c:pt>
                <c:pt idx="9">
                  <c:v>17001.240000000002</c:v>
                </c:pt>
                <c:pt idx="10">
                  <c:v>1255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E-4235-BB85-37583BBA52C9}"/>
            </c:ext>
          </c:extLst>
        </c:ser>
        <c:ser>
          <c:idx val="12"/>
          <c:order val="12"/>
          <c:tx>
            <c:strRef>
              <c:f>' 2011-2026'!$A$51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2011-2026'!$B$51:$M$51</c:f>
              <c:numCache>
                <c:formatCode>#,##0</c:formatCode>
                <c:ptCount val="12"/>
                <c:pt idx="0">
                  <c:v>200</c:v>
                </c:pt>
                <c:pt idx="1">
                  <c:v>67062.289999999994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4038.44</c:v>
                </c:pt>
                <c:pt idx="8">
                  <c:v>0</c:v>
                </c:pt>
                <c:pt idx="9">
                  <c:v>12265</c:v>
                </c:pt>
                <c:pt idx="10">
                  <c:v>6952.98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B-4359-9EED-FB50E44CE7E3}"/>
            </c:ext>
          </c:extLst>
        </c:ser>
        <c:ser>
          <c:idx val="13"/>
          <c:order val="13"/>
          <c:tx>
            <c:strRef>
              <c:f>' 2011-2026'!$A$52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2011-2026'!$B$52:$M$52</c:f>
              <c:numCache>
                <c:formatCode>#,##0</c:formatCode>
                <c:ptCount val="12"/>
                <c:pt idx="0">
                  <c:v>4488.68</c:v>
                </c:pt>
                <c:pt idx="1">
                  <c:v>71868.06</c:v>
                </c:pt>
                <c:pt idx="2">
                  <c:v>18225.89</c:v>
                </c:pt>
                <c:pt idx="3">
                  <c:v>15772.49</c:v>
                </c:pt>
                <c:pt idx="4">
                  <c:v>2420</c:v>
                </c:pt>
                <c:pt idx="5">
                  <c:v>9325</c:v>
                </c:pt>
                <c:pt idx="6">
                  <c:v>80</c:v>
                </c:pt>
                <c:pt idx="7">
                  <c:v>0</c:v>
                </c:pt>
                <c:pt idx="8">
                  <c:v>7716.63</c:v>
                </c:pt>
                <c:pt idx="9">
                  <c:v>83007.03</c:v>
                </c:pt>
                <c:pt idx="10">
                  <c:v>27973.71</c:v>
                </c:pt>
                <c:pt idx="11">
                  <c:v>50418.03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6-4B12-B10B-C3C71CAA278B}"/>
            </c:ext>
          </c:extLst>
        </c:ser>
        <c:ser>
          <c:idx val="14"/>
          <c:order val="14"/>
          <c:tx>
            <c:strRef>
              <c:f>' 2011-2026'!$A$53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 2011-2026'!$B$38:$M$38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2011-2026'!$B$53:$M$53</c:f>
              <c:numCache>
                <c:formatCode>#,##0</c:formatCode>
                <c:ptCount val="12"/>
                <c:pt idx="0">
                  <c:v>22486.11</c:v>
                </c:pt>
                <c:pt idx="1">
                  <c:v>16355</c:v>
                </c:pt>
                <c:pt idx="2">
                  <c:v>21167.93</c:v>
                </c:pt>
                <c:pt idx="3">
                  <c:v>2998.89</c:v>
                </c:pt>
                <c:pt idx="4">
                  <c:v>3408</c:v>
                </c:pt>
                <c:pt idx="5">
                  <c:v>12106.81</c:v>
                </c:pt>
                <c:pt idx="6">
                  <c:v>3745</c:v>
                </c:pt>
                <c:pt idx="7">
                  <c:v>10726.67</c:v>
                </c:pt>
                <c:pt idx="8">
                  <c:v>13640.04</c:v>
                </c:pt>
                <c:pt idx="9">
                  <c:v>9276.19</c:v>
                </c:pt>
                <c:pt idx="10">
                  <c:v>4000.64</c:v>
                </c:pt>
                <c:pt idx="11">
                  <c:v>4604.6000000000004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0-429F-B41E-CF4D527D2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777104"/>
        <c:axId val="310789072"/>
        <c:axId val="0"/>
      </c:bar3DChart>
      <c:catAx>
        <c:axId val="3107771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0789072"/>
        <c:crosses val="autoZero"/>
        <c:auto val="1"/>
        <c:lblAlgn val="ctr"/>
        <c:lblOffset val="100"/>
        <c:noMultiLvlLbl val="0"/>
      </c:catAx>
      <c:valAx>
        <c:axId val="3107890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1077710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Montos Ordenes Mes a Mes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2401389967099189E-2"/>
          <c:y val="0.17581036745406825"/>
          <c:w val="0.90255948640222794"/>
          <c:h val="0.567068387284922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2011-2026'!$A$84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2011-2026'!$B$84:$M$84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143668.9</c:v>
                </c:pt>
                <c:pt idx="3">
                  <c:v>46280.65</c:v>
                </c:pt>
                <c:pt idx="4">
                  <c:v>11504.24</c:v>
                </c:pt>
                <c:pt idx="5">
                  <c:v>93709.46</c:v>
                </c:pt>
                <c:pt idx="6">
                  <c:v>0</c:v>
                </c:pt>
                <c:pt idx="7">
                  <c:v>41411.919999999998</c:v>
                </c:pt>
                <c:pt idx="8">
                  <c:v>22074.98</c:v>
                </c:pt>
                <c:pt idx="9">
                  <c:v>51330.95</c:v>
                </c:pt>
                <c:pt idx="10">
                  <c:v>10405</c:v>
                </c:pt>
                <c:pt idx="11">
                  <c:v>78179.600000000006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75-405C-B207-48E4E46DBC7B}"/>
            </c:ext>
          </c:extLst>
        </c:ser>
        <c:ser>
          <c:idx val="1"/>
          <c:order val="1"/>
          <c:tx>
            <c:strRef>
              <c:f>' 2011-2026'!$A$85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2011-2026'!$B$85:$M$85</c:f>
              <c:numCache>
                <c:formatCode>General</c:formatCode>
                <c:ptCount val="12"/>
                <c:pt idx="0" formatCode="#,##0">
                  <c:v>6016.7</c:v>
                </c:pt>
                <c:pt idx="1">
                  <c:v>0</c:v>
                </c:pt>
                <c:pt idx="2" formatCode="#,##0">
                  <c:v>272173.48</c:v>
                </c:pt>
                <c:pt idx="3" formatCode="#,##0">
                  <c:v>9853.1200000000008</c:v>
                </c:pt>
                <c:pt idx="4" formatCode="#,##0">
                  <c:v>13313.7</c:v>
                </c:pt>
                <c:pt idx="5" formatCode="#,##0">
                  <c:v>8315.85</c:v>
                </c:pt>
                <c:pt idx="6" formatCode="#,##0">
                  <c:v>9464.65</c:v>
                </c:pt>
                <c:pt idx="7" formatCode="#,##0">
                  <c:v>2110.4</c:v>
                </c:pt>
                <c:pt idx="8" formatCode="#,##0">
                  <c:v>2368</c:v>
                </c:pt>
                <c:pt idx="9" formatCode="#,##0">
                  <c:v>0</c:v>
                </c:pt>
                <c:pt idx="10" formatCode="#,##0">
                  <c:v>9172.15</c:v>
                </c:pt>
                <c:pt idx="11" formatCode="#,##0">
                  <c:v>12995.65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75-405C-B207-48E4E46DBC7B}"/>
            </c:ext>
          </c:extLst>
        </c:ser>
        <c:ser>
          <c:idx val="2"/>
          <c:order val="2"/>
          <c:tx>
            <c:strRef>
              <c:f>' 2011-2026'!$A$86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2011-2026'!$B$86:$M$86</c:f>
              <c:numCache>
                <c:formatCode>#,##0</c:formatCode>
                <c:ptCount val="12"/>
                <c:pt idx="0">
                  <c:v>9000</c:v>
                </c:pt>
                <c:pt idx="1">
                  <c:v>6885</c:v>
                </c:pt>
                <c:pt idx="2">
                  <c:v>222917.66</c:v>
                </c:pt>
                <c:pt idx="3">
                  <c:v>59817.55</c:v>
                </c:pt>
                <c:pt idx="4">
                  <c:v>394.4</c:v>
                </c:pt>
                <c:pt idx="5">
                  <c:v>24251.24</c:v>
                </c:pt>
                <c:pt idx="6">
                  <c:v>3454.21</c:v>
                </c:pt>
                <c:pt idx="7">
                  <c:v>39736.85</c:v>
                </c:pt>
                <c:pt idx="8">
                  <c:v>245081.41</c:v>
                </c:pt>
                <c:pt idx="9">
                  <c:v>6332.89</c:v>
                </c:pt>
                <c:pt idx="10">
                  <c:v>15281.25</c:v>
                </c:pt>
                <c:pt idx="11">
                  <c:v>19860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75-405C-B207-48E4E46DBC7B}"/>
            </c:ext>
          </c:extLst>
        </c:ser>
        <c:ser>
          <c:idx val="3"/>
          <c:order val="3"/>
          <c:tx>
            <c:strRef>
              <c:f>' 2011-2026'!$A$87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2011-2026'!$B$87:$M$87</c:f>
              <c:numCache>
                <c:formatCode>#,##0</c:formatCode>
                <c:ptCount val="12"/>
                <c:pt idx="0">
                  <c:v>38211.699999999997</c:v>
                </c:pt>
                <c:pt idx="1">
                  <c:v>9714.39</c:v>
                </c:pt>
                <c:pt idx="2">
                  <c:v>74793.070000000007</c:v>
                </c:pt>
                <c:pt idx="3">
                  <c:v>270158.08000000002</c:v>
                </c:pt>
                <c:pt idx="4">
                  <c:v>92782.46</c:v>
                </c:pt>
                <c:pt idx="5">
                  <c:v>9014.08</c:v>
                </c:pt>
                <c:pt idx="6">
                  <c:v>26650.57</c:v>
                </c:pt>
                <c:pt idx="7">
                  <c:v>12078.26</c:v>
                </c:pt>
                <c:pt idx="8">
                  <c:v>123460.35</c:v>
                </c:pt>
                <c:pt idx="9">
                  <c:v>138294.32999999999</c:v>
                </c:pt>
                <c:pt idx="10">
                  <c:v>24996.16</c:v>
                </c:pt>
                <c:pt idx="11">
                  <c:v>24381.47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75-405C-B207-48E4E46DBC7B}"/>
            </c:ext>
          </c:extLst>
        </c:ser>
        <c:ser>
          <c:idx val="4"/>
          <c:order val="4"/>
          <c:tx>
            <c:strRef>
              <c:f>' 2011-2026'!$A$88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2011-2026'!$B$88:$M$88</c:f>
              <c:numCache>
                <c:formatCode>#,##0</c:formatCode>
                <c:ptCount val="12"/>
                <c:pt idx="0">
                  <c:v>82289.55</c:v>
                </c:pt>
                <c:pt idx="1">
                  <c:v>62323.58</c:v>
                </c:pt>
                <c:pt idx="2">
                  <c:v>127832.31</c:v>
                </c:pt>
                <c:pt idx="3">
                  <c:v>364905.79</c:v>
                </c:pt>
                <c:pt idx="4">
                  <c:v>86843.43</c:v>
                </c:pt>
                <c:pt idx="5">
                  <c:v>108690.73</c:v>
                </c:pt>
                <c:pt idx="6">
                  <c:v>83211.070000000007</c:v>
                </c:pt>
                <c:pt idx="7">
                  <c:v>68050.73</c:v>
                </c:pt>
                <c:pt idx="8">
                  <c:v>12719.41</c:v>
                </c:pt>
                <c:pt idx="9">
                  <c:v>165667.26</c:v>
                </c:pt>
                <c:pt idx="10">
                  <c:v>58231.71</c:v>
                </c:pt>
                <c:pt idx="11">
                  <c:v>11769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75-405C-B207-48E4E46DBC7B}"/>
            </c:ext>
          </c:extLst>
        </c:ser>
        <c:ser>
          <c:idx val="5"/>
          <c:order val="5"/>
          <c:tx>
            <c:strRef>
              <c:f>' 2011-2026'!$A$89</c:f>
              <c:strCache>
                <c:ptCount val="1"/>
                <c:pt idx="0">
                  <c:v>2106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2011-2026'!$B$89:$M$89</c:f>
              <c:numCache>
                <c:formatCode>#,##0</c:formatCode>
                <c:ptCount val="12"/>
                <c:pt idx="0">
                  <c:v>92336.55</c:v>
                </c:pt>
                <c:pt idx="1">
                  <c:v>1333.87</c:v>
                </c:pt>
                <c:pt idx="2">
                  <c:v>173190.1</c:v>
                </c:pt>
                <c:pt idx="3">
                  <c:v>0</c:v>
                </c:pt>
                <c:pt idx="4">
                  <c:v>5926.71</c:v>
                </c:pt>
                <c:pt idx="5">
                  <c:v>0</c:v>
                </c:pt>
                <c:pt idx="6">
                  <c:v>34536.83</c:v>
                </c:pt>
                <c:pt idx="7">
                  <c:v>129249.84</c:v>
                </c:pt>
                <c:pt idx="8">
                  <c:v>230.94</c:v>
                </c:pt>
                <c:pt idx="9">
                  <c:v>146213.87</c:v>
                </c:pt>
                <c:pt idx="10">
                  <c:v>15535.65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75-405C-B207-48E4E46DBC7B}"/>
            </c:ext>
          </c:extLst>
        </c:ser>
        <c:ser>
          <c:idx val="6"/>
          <c:order val="6"/>
          <c:tx>
            <c:strRef>
              <c:f>' 2011-2026'!$A$90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2011-2026'!$B$90:$M$90</c:f>
              <c:numCache>
                <c:formatCode>#,##0</c:formatCode>
                <c:ptCount val="12"/>
                <c:pt idx="0">
                  <c:v>240236.04</c:v>
                </c:pt>
                <c:pt idx="1">
                  <c:v>9509.06</c:v>
                </c:pt>
                <c:pt idx="2">
                  <c:v>24523.99</c:v>
                </c:pt>
                <c:pt idx="3">
                  <c:v>31573.59</c:v>
                </c:pt>
                <c:pt idx="4">
                  <c:v>63558.07</c:v>
                </c:pt>
                <c:pt idx="5">
                  <c:v>14802.02</c:v>
                </c:pt>
                <c:pt idx="6">
                  <c:v>67282.87</c:v>
                </c:pt>
                <c:pt idx="7">
                  <c:v>77183.97</c:v>
                </c:pt>
                <c:pt idx="8">
                  <c:v>18137.45</c:v>
                </c:pt>
                <c:pt idx="9">
                  <c:v>41572.120000000003</c:v>
                </c:pt>
                <c:pt idx="10">
                  <c:v>129161.75</c:v>
                </c:pt>
                <c:pt idx="11">
                  <c:v>101457.46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75-405C-B207-48E4E46DBC7B}"/>
            </c:ext>
          </c:extLst>
        </c:ser>
        <c:ser>
          <c:idx val="7"/>
          <c:order val="7"/>
          <c:tx>
            <c:strRef>
              <c:f>' 2011-2026'!$A$91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2011-2026'!$B$91:$M$91</c:f>
              <c:numCache>
                <c:formatCode>#,##0</c:formatCode>
                <c:ptCount val="12"/>
                <c:pt idx="0">
                  <c:v>26637.83</c:v>
                </c:pt>
                <c:pt idx="1">
                  <c:v>68490.429999999993</c:v>
                </c:pt>
                <c:pt idx="2">
                  <c:v>55893.82</c:v>
                </c:pt>
                <c:pt idx="3">
                  <c:v>125454.25</c:v>
                </c:pt>
                <c:pt idx="4">
                  <c:v>91435.93</c:v>
                </c:pt>
                <c:pt idx="5">
                  <c:v>81885.789999999994</c:v>
                </c:pt>
                <c:pt idx="6">
                  <c:v>332322.09000000003</c:v>
                </c:pt>
                <c:pt idx="7">
                  <c:v>98280.07</c:v>
                </c:pt>
                <c:pt idx="8">
                  <c:v>126649.9</c:v>
                </c:pt>
                <c:pt idx="9">
                  <c:v>59949.58</c:v>
                </c:pt>
                <c:pt idx="10">
                  <c:v>16772.189999999999</c:v>
                </c:pt>
                <c:pt idx="11">
                  <c:v>12222.61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2-4092-A664-A7193F51F89C}"/>
            </c:ext>
          </c:extLst>
        </c:ser>
        <c:ser>
          <c:idx val="8"/>
          <c:order val="8"/>
          <c:tx>
            <c:strRef>
              <c:f>' 2011-2026'!$A$92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2011-2026'!$B$92:$M$92</c:f>
              <c:numCache>
                <c:formatCode>#,##0</c:formatCode>
                <c:ptCount val="12"/>
                <c:pt idx="0">
                  <c:v>34093.1</c:v>
                </c:pt>
                <c:pt idx="1">
                  <c:v>31165.4</c:v>
                </c:pt>
                <c:pt idx="2">
                  <c:v>43051.519999999997</c:v>
                </c:pt>
                <c:pt idx="3">
                  <c:v>15299.83</c:v>
                </c:pt>
                <c:pt idx="4">
                  <c:v>80617.05</c:v>
                </c:pt>
                <c:pt idx="5">
                  <c:v>58946.99</c:v>
                </c:pt>
                <c:pt idx="6">
                  <c:v>95984.19</c:v>
                </c:pt>
                <c:pt idx="7">
                  <c:v>76243.03</c:v>
                </c:pt>
                <c:pt idx="8">
                  <c:v>432907.71</c:v>
                </c:pt>
                <c:pt idx="9">
                  <c:v>104710.64</c:v>
                </c:pt>
                <c:pt idx="10">
                  <c:v>149679.39000000001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A-4E41-8904-F048467CCD27}"/>
            </c:ext>
          </c:extLst>
        </c:ser>
        <c:ser>
          <c:idx val="9"/>
          <c:order val="9"/>
          <c:tx>
            <c:strRef>
              <c:f>' 2011-2026'!$A$93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2011-2026'!$B$93:$M$93</c:f>
              <c:numCache>
                <c:formatCode>#,##0</c:formatCode>
                <c:ptCount val="12"/>
                <c:pt idx="0">
                  <c:v>449052.2</c:v>
                </c:pt>
                <c:pt idx="1">
                  <c:v>50482.879999999997</c:v>
                </c:pt>
                <c:pt idx="2">
                  <c:v>16643.509999999998</c:v>
                </c:pt>
                <c:pt idx="3">
                  <c:v>123736.27</c:v>
                </c:pt>
                <c:pt idx="4">
                  <c:v>37383.5</c:v>
                </c:pt>
                <c:pt idx="5">
                  <c:v>19084.36</c:v>
                </c:pt>
                <c:pt idx="6">
                  <c:v>20678.97</c:v>
                </c:pt>
                <c:pt idx="7">
                  <c:v>49365.89</c:v>
                </c:pt>
                <c:pt idx="8">
                  <c:v>733.5</c:v>
                </c:pt>
                <c:pt idx="9">
                  <c:v>9508.7000000000007</c:v>
                </c:pt>
                <c:pt idx="10">
                  <c:v>206945.78</c:v>
                </c:pt>
                <c:pt idx="11">
                  <c:v>14875.31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4F-4776-9251-1FC1B8917475}"/>
            </c:ext>
          </c:extLst>
        </c:ser>
        <c:ser>
          <c:idx val="10"/>
          <c:order val="10"/>
          <c:tx>
            <c:strRef>
              <c:f>' 2011-2026'!$A$94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2011-2026'!$B$94:$M$94</c:f>
              <c:numCache>
                <c:formatCode>#,##0</c:formatCode>
                <c:ptCount val="12"/>
                <c:pt idx="0">
                  <c:v>33967.93</c:v>
                </c:pt>
                <c:pt idx="1">
                  <c:v>126852.66</c:v>
                </c:pt>
                <c:pt idx="2">
                  <c:v>121253.62</c:v>
                </c:pt>
                <c:pt idx="3">
                  <c:v>30939.74</c:v>
                </c:pt>
                <c:pt idx="4">
                  <c:v>40478.04</c:v>
                </c:pt>
                <c:pt idx="5">
                  <c:v>55937.77</c:v>
                </c:pt>
                <c:pt idx="6">
                  <c:v>15341.07</c:v>
                </c:pt>
                <c:pt idx="7">
                  <c:v>90660.99</c:v>
                </c:pt>
                <c:pt idx="8">
                  <c:v>157701.64000000001</c:v>
                </c:pt>
                <c:pt idx="9">
                  <c:v>34840.79</c:v>
                </c:pt>
                <c:pt idx="10">
                  <c:v>48977.11</c:v>
                </c:pt>
                <c:pt idx="11">
                  <c:v>100704.76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4F-4776-9251-1FC1B8917475}"/>
            </c:ext>
          </c:extLst>
        </c:ser>
        <c:ser>
          <c:idx val="11"/>
          <c:order val="11"/>
          <c:tx>
            <c:strRef>
              <c:f>' 2011-2026'!$A$95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2011-2026'!$B$95:$M$95</c:f>
              <c:numCache>
                <c:formatCode>#,##0</c:formatCode>
                <c:ptCount val="12"/>
                <c:pt idx="0">
                  <c:v>5637.6</c:v>
                </c:pt>
                <c:pt idx="1">
                  <c:v>595638.76</c:v>
                </c:pt>
                <c:pt idx="2">
                  <c:v>692166.13</c:v>
                </c:pt>
                <c:pt idx="3">
                  <c:v>26663.31</c:v>
                </c:pt>
                <c:pt idx="4">
                  <c:v>90523.26</c:v>
                </c:pt>
                <c:pt idx="5">
                  <c:v>69286.509999999995</c:v>
                </c:pt>
                <c:pt idx="6">
                  <c:v>89437.95</c:v>
                </c:pt>
                <c:pt idx="7">
                  <c:v>62346.28</c:v>
                </c:pt>
                <c:pt idx="8">
                  <c:v>31481.23</c:v>
                </c:pt>
                <c:pt idx="9">
                  <c:v>0</c:v>
                </c:pt>
                <c:pt idx="10">
                  <c:v>29513.55</c:v>
                </c:pt>
                <c:pt idx="11">
                  <c:v>2023.44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E8-4ED3-84B8-9F6BE1059AD1}"/>
            </c:ext>
          </c:extLst>
        </c:ser>
        <c:ser>
          <c:idx val="12"/>
          <c:order val="12"/>
          <c:tx>
            <c:strRef>
              <c:f>' 2011-2026'!$A$96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2011-2026'!$B$96:$M$96</c:f>
              <c:numCache>
                <c:formatCode>#,##0</c:formatCode>
                <c:ptCount val="12"/>
                <c:pt idx="0">
                  <c:v>787413.23</c:v>
                </c:pt>
                <c:pt idx="1">
                  <c:v>73170.27</c:v>
                </c:pt>
                <c:pt idx="2">
                  <c:v>94.5</c:v>
                </c:pt>
                <c:pt idx="3">
                  <c:v>38501</c:v>
                </c:pt>
                <c:pt idx="4">
                  <c:v>45593</c:v>
                </c:pt>
                <c:pt idx="5">
                  <c:v>51890.02</c:v>
                </c:pt>
                <c:pt idx="6">
                  <c:v>90322.95</c:v>
                </c:pt>
                <c:pt idx="7">
                  <c:v>30854.25</c:v>
                </c:pt>
                <c:pt idx="8">
                  <c:v>105002.62</c:v>
                </c:pt>
                <c:pt idx="9">
                  <c:v>79362.929999999993</c:v>
                </c:pt>
                <c:pt idx="10">
                  <c:v>7878.05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E8-4ED3-84B8-9F6BE1059AD1}"/>
            </c:ext>
          </c:extLst>
        </c:ser>
        <c:ser>
          <c:idx val="13"/>
          <c:order val="13"/>
          <c:tx>
            <c:strRef>
              <c:f>' 2011-2026'!$A$97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2011-2026'!$B$97:$M$97</c:f>
              <c:numCache>
                <c:formatCode>#,##0</c:formatCode>
                <c:ptCount val="12"/>
                <c:pt idx="0">
                  <c:v>541586.18999999994</c:v>
                </c:pt>
                <c:pt idx="1">
                  <c:v>100956.79</c:v>
                </c:pt>
                <c:pt idx="2">
                  <c:v>95643.26</c:v>
                </c:pt>
                <c:pt idx="3">
                  <c:v>8195.7000000000007</c:v>
                </c:pt>
                <c:pt idx="4">
                  <c:v>50765.34</c:v>
                </c:pt>
                <c:pt idx="5">
                  <c:v>152462.32</c:v>
                </c:pt>
                <c:pt idx="6">
                  <c:v>12484.64</c:v>
                </c:pt>
                <c:pt idx="7">
                  <c:v>7980.69</c:v>
                </c:pt>
                <c:pt idx="8">
                  <c:v>40917.96</c:v>
                </c:pt>
                <c:pt idx="9">
                  <c:v>64938.9</c:v>
                </c:pt>
                <c:pt idx="10">
                  <c:v>64043.24</c:v>
                </c:pt>
                <c:pt idx="11">
                  <c:v>3744.4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E8-4ED3-84B8-9F6BE1059AD1}"/>
            </c:ext>
          </c:extLst>
        </c:ser>
        <c:ser>
          <c:idx val="14"/>
          <c:order val="14"/>
          <c:tx>
            <c:strRef>
              <c:f>' 2011-2026'!$A$98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 2011-2026'!$B$83:$M$83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2011-2026'!$B$98:$M$98</c:f>
              <c:numCache>
                <c:formatCode>#,##0</c:formatCode>
                <c:ptCount val="12"/>
                <c:pt idx="0">
                  <c:v>235148.63</c:v>
                </c:pt>
                <c:pt idx="1">
                  <c:v>1526.86</c:v>
                </c:pt>
                <c:pt idx="2">
                  <c:v>34108.410000000003</c:v>
                </c:pt>
                <c:pt idx="3">
                  <c:v>361916.2</c:v>
                </c:pt>
                <c:pt idx="4">
                  <c:v>4634.3</c:v>
                </c:pt>
                <c:pt idx="5">
                  <c:v>47481.74</c:v>
                </c:pt>
                <c:pt idx="6">
                  <c:v>63144.25</c:v>
                </c:pt>
                <c:pt idx="7">
                  <c:v>106457.35</c:v>
                </c:pt>
                <c:pt idx="8">
                  <c:v>4096.92</c:v>
                </c:pt>
                <c:pt idx="9">
                  <c:v>108796.02</c:v>
                </c:pt>
                <c:pt idx="10">
                  <c:v>336070.67</c:v>
                </c:pt>
                <c:pt idx="11">
                  <c:v>8570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D-4CB4-85F3-B8EBD1582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789616"/>
        <c:axId val="310790160"/>
        <c:axId val="0"/>
      </c:bar3DChart>
      <c:catAx>
        <c:axId val="310789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0790160"/>
        <c:crosses val="autoZero"/>
        <c:auto val="1"/>
        <c:lblAlgn val="ctr"/>
        <c:lblOffset val="100"/>
        <c:noMultiLvlLbl val="0"/>
      </c:catAx>
      <c:valAx>
        <c:axId val="3107901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1078961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Montos Ordenes Mes a Mes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9615787463186825E-2"/>
          <c:y val="0.14071813939924177"/>
          <c:w val="0.90255948640222794"/>
          <c:h val="8.1477565467043697E-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2011-2026'!$A$121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2011-2026'!$B$121:$M$121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5468.28</c:v>
                </c:pt>
                <c:pt idx="5">
                  <c:v>0</c:v>
                </c:pt>
                <c:pt idx="6">
                  <c:v>4773.72</c:v>
                </c:pt>
                <c:pt idx="7">
                  <c:v>13919.66</c:v>
                </c:pt>
                <c:pt idx="8">
                  <c:v>1104</c:v>
                </c:pt>
                <c:pt idx="9">
                  <c:v>0</c:v>
                </c:pt>
                <c:pt idx="10">
                  <c:v>43210</c:v>
                </c:pt>
                <c:pt idx="11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C-4592-8F6C-E601E3D0B171}"/>
            </c:ext>
          </c:extLst>
        </c:ser>
        <c:ser>
          <c:idx val="1"/>
          <c:order val="1"/>
          <c:tx>
            <c:strRef>
              <c:f>' 2011-2026'!$A$122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2011-2026'!$B$122:$M$122</c:f>
              <c:numCache>
                <c:formatCode>#,##0</c:formatCode>
                <c:ptCount val="12"/>
                <c:pt idx="0">
                  <c:v>0</c:v>
                </c:pt>
                <c:pt idx="1">
                  <c:v>13861.19</c:v>
                </c:pt>
                <c:pt idx="2">
                  <c:v>1073</c:v>
                </c:pt>
                <c:pt idx="3">
                  <c:v>1053</c:v>
                </c:pt>
                <c:pt idx="4">
                  <c:v>3010</c:v>
                </c:pt>
                <c:pt idx="5">
                  <c:v>2677.05</c:v>
                </c:pt>
                <c:pt idx="6">
                  <c:v>0</c:v>
                </c:pt>
                <c:pt idx="7">
                  <c:v>105568.43</c:v>
                </c:pt>
                <c:pt idx="8">
                  <c:v>53389.23</c:v>
                </c:pt>
                <c:pt idx="9">
                  <c:v>509</c:v>
                </c:pt>
                <c:pt idx="10">
                  <c:v>1642.88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CC-4592-8F6C-E601E3D0B171}"/>
            </c:ext>
          </c:extLst>
        </c:ser>
        <c:ser>
          <c:idx val="2"/>
          <c:order val="2"/>
          <c:tx>
            <c:strRef>
              <c:f>' 2011-2026'!$A$123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2011-2026'!$B$123:$M$123</c:f>
              <c:numCache>
                <c:formatCode>#,##0</c:formatCode>
                <c:ptCount val="12"/>
                <c:pt idx="0">
                  <c:v>1659.12</c:v>
                </c:pt>
                <c:pt idx="1">
                  <c:v>14352.53</c:v>
                </c:pt>
                <c:pt idx="2">
                  <c:v>15850.32</c:v>
                </c:pt>
                <c:pt idx="3">
                  <c:v>59939.15</c:v>
                </c:pt>
                <c:pt idx="4">
                  <c:v>38156.949999999997</c:v>
                </c:pt>
                <c:pt idx="5">
                  <c:v>3181.34</c:v>
                </c:pt>
                <c:pt idx="6">
                  <c:v>14384.07</c:v>
                </c:pt>
                <c:pt idx="7">
                  <c:v>26043.82</c:v>
                </c:pt>
                <c:pt idx="8">
                  <c:v>11998.09</c:v>
                </c:pt>
                <c:pt idx="9">
                  <c:v>2709.1</c:v>
                </c:pt>
                <c:pt idx="10">
                  <c:v>0</c:v>
                </c:pt>
                <c:pt idx="11">
                  <c:v>12296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C-4592-8F6C-E601E3D0B171}"/>
            </c:ext>
          </c:extLst>
        </c:ser>
        <c:ser>
          <c:idx val="3"/>
          <c:order val="3"/>
          <c:tx>
            <c:strRef>
              <c:f>' 2011-2026'!$A$124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2011-2026'!$B$124:$M$124</c:f>
              <c:numCache>
                <c:formatCode>#,##0</c:formatCode>
                <c:ptCount val="12"/>
                <c:pt idx="0">
                  <c:v>3588</c:v>
                </c:pt>
                <c:pt idx="1">
                  <c:v>24847.99</c:v>
                </c:pt>
                <c:pt idx="2">
                  <c:v>0</c:v>
                </c:pt>
                <c:pt idx="3">
                  <c:v>14548</c:v>
                </c:pt>
                <c:pt idx="4">
                  <c:v>3520</c:v>
                </c:pt>
                <c:pt idx="5">
                  <c:v>34875.43</c:v>
                </c:pt>
                <c:pt idx="6">
                  <c:v>2055</c:v>
                </c:pt>
                <c:pt idx="7">
                  <c:v>360</c:v>
                </c:pt>
                <c:pt idx="8">
                  <c:v>0</c:v>
                </c:pt>
                <c:pt idx="9">
                  <c:v>9068.2999999999993</c:v>
                </c:pt>
                <c:pt idx="10">
                  <c:v>0</c:v>
                </c:pt>
                <c:pt idx="11">
                  <c:v>1028.5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C-4592-8F6C-E601E3D0B171}"/>
            </c:ext>
          </c:extLst>
        </c:ser>
        <c:ser>
          <c:idx val="4"/>
          <c:order val="4"/>
          <c:tx>
            <c:strRef>
              <c:f>' 2011-2026'!$A$125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2011-2026'!$B$125:$M$125</c:f>
              <c:numCache>
                <c:formatCode>#,##0</c:formatCode>
                <c:ptCount val="12"/>
                <c:pt idx="0">
                  <c:v>14229.12</c:v>
                </c:pt>
                <c:pt idx="1">
                  <c:v>7866</c:v>
                </c:pt>
                <c:pt idx="2">
                  <c:v>984.48</c:v>
                </c:pt>
                <c:pt idx="3">
                  <c:v>10675.79</c:v>
                </c:pt>
                <c:pt idx="4">
                  <c:v>1217.6500000000001</c:v>
                </c:pt>
                <c:pt idx="5">
                  <c:v>5274</c:v>
                </c:pt>
                <c:pt idx="6" formatCode="General">
                  <c:v>0</c:v>
                </c:pt>
                <c:pt idx="7" formatCode="General">
                  <c:v>0</c:v>
                </c:pt>
                <c:pt idx="8">
                  <c:v>33908.81</c:v>
                </c:pt>
                <c:pt idx="9">
                  <c:v>25681.32</c:v>
                </c:pt>
                <c:pt idx="10">
                  <c:v>140367.60999999999</c:v>
                </c:pt>
                <c:pt idx="11">
                  <c:v>5856.21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C-4592-8F6C-E601E3D0B171}"/>
            </c:ext>
          </c:extLst>
        </c:ser>
        <c:ser>
          <c:idx val="5"/>
          <c:order val="5"/>
          <c:tx>
            <c:strRef>
              <c:f>' 2011-2026'!$A$126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2011-2026'!$B$126:$M$126</c:f>
              <c:numCache>
                <c:formatCode>#,##0</c:formatCode>
                <c:ptCount val="12"/>
                <c:pt idx="0">
                  <c:v>20374.96</c:v>
                </c:pt>
                <c:pt idx="1">
                  <c:v>9826.6200000000008</c:v>
                </c:pt>
                <c:pt idx="2">
                  <c:v>8226</c:v>
                </c:pt>
                <c:pt idx="3">
                  <c:v>4496.1000000000004</c:v>
                </c:pt>
                <c:pt idx="4">
                  <c:v>7169.29</c:v>
                </c:pt>
                <c:pt idx="5">
                  <c:v>15061.47</c:v>
                </c:pt>
                <c:pt idx="6">
                  <c:v>41332.32</c:v>
                </c:pt>
                <c:pt idx="7">
                  <c:v>20109.060000000001</c:v>
                </c:pt>
                <c:pt idx="8">
                  <c:v>2905.84</c:v>
                </c:pt>
                <c:pt idx="9">
                  <c:v>5127.62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C-4592-8F6C-E601E3D0B171}"/>
            </c:ext>
          </c:extLst>
        </c:ser>
        <c:ser>
          <c:idx val="6"/>
          <c:order val="6"/>
          <c:tx>
            <c:strRef>
              <c:f>' 2011-2026'!$A$127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2011-2026'!$B$127:$M$127</c:f>
              <c:numCache>
                <c:formatCode>#,##0</c:formatCode>
                <c:ptCount val="12"/>
                <c:pt idx="0">
                  <c:v>2400</c:v>
                </c:pt>
                <c:pt idx="1">
                  <c:v>4167</c:v>
                </c:pt>
                <c:pt idx="2">
                  <c:v>29315.52</c:v>
                </c:pt>
                <c:pt idx="3">
                  <c:v>76072.259999999995</c:v>
                </c:pt>
                <c:pt idx="4">
                  <c:v>3723.7</c:v>
                </c:pt>
                <c:pt idx="5">
                  <c:v>20136</c:v>
                </c:pt>
                <c:pt idx="6">
                  <c:v>34010.449999999997</c:v>
                </c:pt>
                <c:pt idx="7">
                  <c:v>12101.44</c:v>
                </c:pt>
                <c:pt idx="8">
                  <c:v>37740.949999999997</c:v>
                </c:pt>
                <c:pt idx="9">
                  <c:v>37760.730000000003</c:v>
                </c:pt>
                <c:pt idx="10">
                  <c:v>24280.01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C-4592-8F6C-E601E3D0B171}"/>
            </c:ext>
          </c:extLst>
        </c:ser>
        <c:ser>
          <c:idx val="7"/>
          <c:order val="7"/>
          <c:tx>
            <c:strRef>
              <c:f>' 2011-2026'!$A$128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2011-2026'!$B$128:$M$128</c:f>
              <c:numCache>
                <c:formatCode>#,##0</c:formatCode>
                <c:ptCount val="12"/>
                <c:pt idx="0">
                  <c:v>8617.91</c:v>
                </c:pt>
                <c:pt idx="1">
                  <c:v>5138</c:v>
                </c:pt>
                <c:pt idx="2">
                  <c:v>7433.89</c:v>
                </c:pt>
                <c:pt idx="3">
                  <c:v>12606.02</c:v>
                </c:pt>
                <c:pt idx="4">
                  <c:v>17768.77</c:v>
                </c:pt>
                <c:pt idx="5">
                  <c:v>2025</c:v>
                </c:pt>
                <c:pt idx="6">
                  <c:v>9924.57</c:v>
                </c:pt>
                <c:pt idx="7">
                  <c:v>10931.67</c:v>
                </c:pt>
                <c:pt idx="8">
                  <c:v>12903.52</c:v>
                </c:pt>
                <c:pt idx="9">
                  <c:v>131483.24</c:v>
                </c:pt>
                <c:pt idx="10">
                  <c:v>40145.1</c:v>
                </c:pt>
                <c:pt idx="11">
                  <c:v>3254.14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F-499E-AE5E-D2562B1EAB17}"/>
            </c:ext>
          </c:extLst>
        </c:ser>
        <c:ser>
          <c:idx val="8"/>
          <c:order val="8"/>
          <c:tx>
            <c:strRef>
              <c:f>' 2011-2026'!$A$129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2011-2026'!$B$129:$M$129</c:f>
              <c:numCache>
                <c:formatCode>#,##0</c:formatCode>
                <c:ptCount val="12"/>
                <c:pt idx="0">
                  <c:v>474009.37</c:v>
                </c:pt>
                <c:pt idx="1">
                  <c:v>196964.07</c:v>
                </c:pt>
                <c:pt idx="2">
                  <c:v>122223.63</c:v>
                </c:pt>
                <c:pt idx="3">
                  <c:v>4670</c:v>
                </c:pt>
                <c:pt idx="4">
                  <c:v>6802</c:v>
                </c:pt>
                <c:pt idx="5">
                  <c:v>6953.52</c:v>
                </c:pt>
                <c:pt idx="6">
                  <c:v>4813.12</c:v>
                </c:pt>
                <c:pt idx="7">
                  <c:v>28547.200000000001</c:v>
                </c:pt>
                <c:pt idx="8" formatCode="#,##0.00">
                  <c:v>47871.48</c:v>
                </c:pt>
                <c:pt idx="9">
                  <c:v>25336.44</c:v>
                </c:pt>
                <c:pt idx="10">
                  <c:v>21731.11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F-4552-81FB-16BA2741F4C6}"/>
            </c:ext>
          </c:extLst>
        </c:ser>
        <c:ser>
          <c:idx val="9"/>
          <c:order val="9"/>
          <c:tx>
            <c:strRef>
              <c:f>' 2011-2026'!$A$130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2011-2026'!$B$130:$M$130</c:f>
              <c:numCache>
                <c:formatCode>#,##0</c:formatCode>
                <c:ptCount val="12"/>
                <c:pt idx="0">
                  <c:v>102437.83</c:v>
                </c:pt>
                <c:pt idx="1">
                  <c:v>13024.59</c:v>
                </c:pt>
                <c:pt idx="2">
                  <c:v>3479.01</c:v>
                </c:pt>
                <c:pt idx="3">
                  <c:v>390</c:v>
                </c:pt>
                <c:pt idx="4">
                  <c:v>68262</c:v>
                </c:pt>
                <c:pt idx="5">
                  <c:v>0</c:v>
                </c:pt>
                <c:pt idx="6">
                  <c:v>5614</c:v>
                </c:pt>
                <c:pt idx="7">
                  <c:v>84176.5</c:v>
                </c:pt>
                <c:pt idx="8" formatCode="#,##0.00">
                  <c:v>17431.97</c:v>
                </c:pt>
                <c:pt idx="9">
                  <c:v>0</c:v>
                </c:pt>
                <c:pt idx="10">
                  <c:v>6427.5</c:v>
                </c:pt>
                <c:pt idx="11">
                  <c:v>27670.74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E-4F4B-9A9D-1515644D3194}"/>
            </c:ext>
          </c:extLst>
        </c:ser>
        <c:ser>
          <c:idx val="10"/>
          <c:order val="10"/>
          <c:tx>
            <c:strRef>
              <c:f>' 2011-2026'!$A$131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2011-2026'!$B$131:$M$131</c:f>
              <c:numCache>
                <c:formatCode>#,##0</c:formatCode>
                <c:ptCount val="12"/>
                <c:pt idx="0">
                  <c:v>3950.35</c:v>
                </c:pt>
                <c:pt idx="1">
                  <c:v>450</c:v>
                </c:pt>
                <c:pt idx="2">
                  <c:v>25941.8</c:v>
                </c:pt>
                <c:pt idx="3">
                  <c:v>365</c:v>
                </c:pt>
                <c:pt idx="4">
                  <c:v>6052.51</c:v>
                </c:pt>
                <c:pt idx="5">
                  <c:v>3731.68</c:v>
                </c:pt>
                <c:pt idx="6">
                  <c:v>0</c:v>
                </c:pt>
                <c:pt idx="7">
                  <c:v>4489.0200000000004</c:v>
                </c:pt>
                <c:pt idx="8" formatCode="#,##0.00">
                  <c:v>19843.580000000002</c:v>
                </c:pt>
                <c:pt idx="9">
                  <c:v>14295.16</c:v>
                </c:pt>
                <c:pt idx="10">
                  <c:v>114442.35</c:v>
                </c:pt>
                <c:pt idx="11">
                  <c:v>11973.43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E-4F4B-9A9D-1515644D3194}"/>
            </c:ext>
          </c:extLst>
        </c:ser>
        <c:ser>
          <c:idx val="11"/>
          <c:order val="11"/>
          <c:tx>
            <c:strRef>
              <c:f>' 2011-2026'!$A$132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2011-2026'!$B$132:$M$132</c:f>
              <c:numCache>
                <c:formatCode>#,##0</c:formatCode>
                <c:ptCount val="12"/>
                <c:pt idx="0">
                  <c:v>70911.98</c:v>
                </c:pt>
                <c:pt idx="1">
                  <c:v>0</c:v>
                </c:pt>
                <c:pt idx="2">
                  <c:v>8327.98</c:v>
                </c:pt>
                <c:pt idx="3">
                  <c:v>4126.22</c:v>
                </c:pt>
                <c:pt idx="4">
                  <c:v>388.73</c:v>
                </c:pt>
                <c:pt idx="5">
                  <c:v>390</c:v>
                </c:pt>
                <c:pt idx="6">
                  <c:v>9830.5400000000009</c:v>
                </c:pt>
                <c:pt idx="7">
                  <c:v>6960</c:v>
                </c:pt>
                <c:pt idx="8" formatCode="#,##0.00">
                  <c:v>57076.29</c:v>
                </c:pt>
                <c:pt idx="9">
                  <c:v>1470</c:v>
                </c:pt>
                <c:pt idx="10">
                  <c:v>16281.31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3E-4F4B-9A9D-1515644D3194}"/>
            </c:ext>
          </c:extLst>
        </c:ser>
        <c:ser>
          <c:idx val="12"/>
          <c:order val="12"/>
          <c:tx>
            <c:strRef>
              <c:f>' 2011-2026'!$A$133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2011-2026'!$B$133:$M$133</c:f>
              <c:numCache>
                <c:formatCode>#,##0</c:formatCode>
                <c:ptCount val="12"/>
                <c:pt idx="0">
                  <c:v>136780.20000000001</c:v>
                </c:pt>
                <c:pt idx="1">
                  <c:v>1986.99</c:v>
                </c:pt>
                <c:pt idx="2">
                  <c:v>1686</c:v>
                </c:pt>
                <c:pt idx="3">
                  <c:v>64.08</c:v>
                </c:pt>
                <c:pt idx="4">
                  <c:v>0</c:v>
                </c:pt>
                <c:pt idx="5">
                  <c:v>670</c:v>
                </c:pt>
                <c:pt idx="6">
                  <c:v>0</c:v>
                </c:pt>
                <c:pt idx="7">
                  <c:v>390</c:v>
                </c:pt>
                <c:pt idx="8" formatCode="#,##0.00">
                  <c:v>0</c:v>
                </c:pt>
                <c:pt idx="9">
                  <c:v>51994.16</c:v>
                </c:pt>
                <c:pt idx="10">
                  <c:v>86510.71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7-4BC4-91B1-C3C02EF349A3}"/>
            </c:ext>
          </c:extLst>
        </c:ser>
        <c:ser>
          <c:idx val="13"/>
          <c:order val="13"/>
          <c:tx>
            <c:strRef>
              <c:f>' 2011-2026'!$A$134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2011-2026'!$B$134:$M$134</c:f>
              <c:numCache>
                <c:formatCode>#,##0</c:formatCode>
                <c:ptCount val="12"/>
                <c:pt idx="0">
                  <c:v>28035</c:v>
                </c:pt>
                <c:pt idx="1">
                  <c:v>191851.91</c:v>
                </c:pt>
                <c:pt idx="2">
                  <c:v>410</c:v>
                </c:pt>
                <c:pt idx="3">
                  <c:v>4690</c:v>
                </c:pt>
                <c:pt idx="4">
                  <c:v>290</c:v>
                </c:pt>
                <c:pt idx="5">
                  <c:v>13314.54</c:v>
                </c:pt>
                <c:pt idx="6">
                  <c:v>0</c:v>
                </c:pt>
                <c:pt idx="7">
                  <c:v>2762.42</c:v>
                </c:pt>
                <c:pt idx="8" formatCode="#,##0.00">
                  <c:v>1256.8499999999999</c:v>
                </c:pt>
                <c:pt idx="9">
                  <c:v>760</c:v>
                </c:pt>
                <c:pt idx="10">
                  <c:v>9815</c:v>
                </c:pt>
                <c:pt idx="11">
                  <c:v>6954.64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7-4BC4-91B1-C3C02EF349A3}"/>
            </c:ext>
          </c:extLst>
        </c:ser>
        <c:ser>
          <c:idx val="14"/>
          <c:order val="14"/>
          <c:tx>
            <c:strRef>
              <c:f>' 2011-2026'!$A$135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 2011-2026'!$B$120:$M$120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2011-2026'!$B$135:$M$135</c:f>
              <c:numCache>
                <c:formatCode>#,##0</c:formatCode>
                <c:ptCount val="12"/>
                <c:pt idx="0">
                  <c:v>190726.68</c:v>
                </c:pt>
                <c:pt idx="1">
                  <c:v>0</c:v>
                </c:pt>
                <c:pt idx="2">
                  <c:v>4039.69</c:v>
                </c:pt>
                <c:pt idx="3">
                  <c:v>6892.8</c:v>
                </c:pt>
                <c:pt idx="4">
                  <c:v>9505.41</c:v>
                </c:pt>
                <c:pt idx="5">
                  <c:v>5401.51</c:v>
                </c:pt>
                <c:pt idx="6">
                  <c:v>1178.96</c:v>
                </c:pt>
                <c:pt idx="7">
                  <c:v>0</c:v>
                </c:pt>
                <c:pt idx="8" formatCode="#,##0.00">
                  <c:v>0</c:v>
                </c:pt>
                <c:pt idx="9">
                  <c:v>0</c:v>
                </c:pt>
                <c:pt idx="10">
                  <c:v>8130</c:v>
                </c:pt>
                <c:pt idx="11">
                  <c:v>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0-4710-B42F-10B01550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780912"/>
        <c:axId val="310777648"/>
        <c:axId val="0"/>
      </c:bar3DChart>
      <c:catAx>
        <c:axId val="31078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0777648"/>
        <c:crosses val="autoZero"/>
        <c:auto val="1"/>
        <c:lblAlgn val="ctr"/>
        <c:lblOffset val="100"/>
        <c:noMultiLvlLbl val="0"/>
      </c:catAx>
      <c:valAx>
        <c:axId val="3107776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1078091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Montos Ordenes Mes a Mes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096225647850361E-2"/>
          <c:y val="0.14071813939924177"/>
          <c:w val="0.90255948640222794"/>
          <c:h val="0.567068387284922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2011-2026'!$A$160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2011-2026'!$B$160:$M$160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1-4BC7-9FD2-715C37E303D5}"/>
            </c:ext>
          </c:extLst>
        </c:ser>
        <c:ser>
          <c:idx val="1"/>
          <c:order val="1"/>
          <c:tx>
            <c:strRef>
              <c:f>' 2011-2026'!$A$161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2011-2026'!$B$161:$M$161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1-4BC7-9FD2-715C37E303D5}"/>
            </c:ext>
          </c:extLst>
        </c:ser>
        <c:ser>
          <c:idx val="2"/>
          <c:order val="2"/>
          <c:tx>
            <c:strRef>
              <c:f>' 2011-2026'!$A$162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2011-2026'!$B$162:$M$162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1-4BC7-9FD2-715C37E303D5}"/>
            </c:ext>
          </c:extLst>
        </c:ser>
        <c:ser>
          <c:idx val="3"/>
          <c:order val="3"/>
          <c:tx>
            <c:strRef>
              <c:f>' 2011-2026'!$A$163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2011-2026'!$B$163:$M$163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E1-4BC7-9FD2-715C37E303D5}"/>
            </c:ext>
          </c:extLst>
        </c:ser>
        <c:ser>
          <c:idx val="4"/>
          <c:order val="4"/>
          <c:tx>
            <c:strRef>
              <c:f>' 2011-2026'!$A$164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2011-2026'!$B$164:$M$164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E1-4BC7-9FD2-715C37E303D5}"/>
            </c:ext>
          </c:extLst>
        </c:ser>
        <c:ser>
          <c:idx val="5"/>
          <c:order val="5"/>
          <c:tx>
            <c:strRef>
              <c:f>' 2011-2026'!$A$165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2011-2026'!$B$165:$M$165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E1-4BC7-9FD2-715C37E303D5}"/>
            </c:ext>
          </c:extLst>
        </c:ser>
        <c:ser>
          <c:idx val="6"/>
          <c:order val="6"/>
          <c:tx>
            <c:strRef>
              <c:f>' 2011-2026'!$A$166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2011-2026'!$B$166:$M$166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E-432D-A15E-31EED53D1F96}"/>
            </c:ext>
          </c:extLst>
        </c:ser>
        <c:ser>
          <c:idx val="7"/>
          <c:order val="7"/>
          <c:tx>
            <c:strRef>
              <c:f>' 2011-2026'!$A$167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2011-2026'!$B$167:$M$167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487</c:v>
                </c:pt>
                <c:pt idx="4">
                  <c:v>1600</c:v>
                </c:pt>
                <c:pt idx="5">
                  <c:v>0</c:v>
                </c:pt>
                <c:pt idx="6">
                  <c:v>4000</c:v>
                </c:pt>
                <c:pt idx="7">
                  <c:v>58360</c:v>
                </c:pt>
                <c:pt idx="8">
                  <c:v>49409.77</c:v>
                </c:pt>
                <c:pt idx="9">
                  <c:v>76470</c:v>
                </c:pt>
                <c:pt idx="10">
                  <c:v>17700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FE-432D-A15E-31EED53D1F96}"/>
            </c:ext>
          </c:extLst>
        </c:ser>
        <c:ser>
          <c:idx val="8"/>
          <c:order val="8"/>
          <c:tx>
            <c:strRef>
              <c:f>' 2011-2026'!$A$168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2011-2026'!$B$168:$M$168</c:f>
              <c:numCache>
                <c:formatCode>#,##0</c:formatCode>
                <c:ptCount val="12"/>
                <c:pt idx="0">
                  <c:v>700</c:v>
                </c:pt>
                <c:pt idx="1">
                  <c:v>0</c:v>
                </c:pt>
                <c:pt idx="2">
                  <c:v>600</c:v>
                </c:pt>
                <c:pt idx="3">
                  <c:v>4277.0200000000004</c:v>
                </c:pt>
                <c:pt idx="4">
                  <c:v>0</c:v>
                </c:pt>
                <c:pt idx="5">
                  <c:v>1800</c:v>
                </c:pt>
                <c:pt idx="6">
                  <c:v>0</c:v>
                </c:pt>
                <c:pt idx="7">
                  <c:v>2929.61</c:v>
                </c:pt>
                <c:pt idx="8">
                  <c:v>269154.92</c:v>
                </c:pt>
                <c:pt idx="9">
                  <c:v>15344.1</c:v>
                </c:pt>
                <c:pt idx="10">
                  <c:v>125493.12</c:v>
                </c:pt>
                <c:pt idx="11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5-4FAB-8676-A11E9B60A3AC}"/>
            </c:ext>
          </c:extLst>
        </c:ser>
        <c:ser>
          <c:idx val="9"/>
          <c:order val="9"/>
          <c:tx>
            <c:strRef>
              <c:f>' 2011-2026'!$A$169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2011-2026'!$B$169:$M$169</c:f>
              <c:numCache>
                <c:formatCode>#,##0</c:formatCode>
                <c:ptCount val="12"/>
                <c:pt idx="0">
                  <c:v>205454.41</c:v>
                </c:pt>
                <c:pt idx="1">
                  <c:v>880</c:v>
                </c:pt>
                <c:pt idx="2">
                  <c:v>0</c:v>
                </c:pt>
                <c:pt idx="3">
                  <c:v>56000</c:v>
                </c:pt>
                <c:pt idx="4">
                  <c:v>15000</c:v>
                </c:pt>
                <c:pt idx="5">
                  <c:v>0</c:v>
                </c:pt>
                <c:pt idx="6">
                  <c:v>8827.51</c:v>
                </c:pt>
                <c:pt idx="7">
                  <c:v>5150</c:v>
                </c:pt>
                <c:pt idx="8">
                  <c:v>4980</c:v>
                </c:pt>
                <c:pt idx="9">
                  <c:v>4069</c:v>
                </c:pt>
                <c:pt idx="10">
                  <c:v>12485</c:v>
                </c:pt>
                <c:pt idx="11">
                  <c:v>11791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6-4C88-BFDA-10290F729489}"/>
            </c:ext>
          </c:extLst>
        </c:ser>
        <c:ser>
          <c:idx val="10"/>
          <c:order val="10"/>
          <c:tx>
            <c:strRef>
              <c:f>' 2011-2026'!$A$170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2011-2026'!$B$170:$M$170</c:f>
              <c:numCache>
                <c:formatCode>#,##0</c:formatCode>
                <c:ptCount val="12"/>
                <c:pt idx="0">
                  <c:v>3000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111530.38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76-4C88-BFDA-10290F729489}"/>
            </c:ext>
          </c:extLst>
        </c:ser>
        <c:ser>
          <c:idx val="11"/>
          <c:order val="11"/>
          <c:tx>
            <c:strRef>
              <c:f>' 2011-2026'!$A$171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2011-2026'!$B$171:$M$171</c:f>
              <c:numCache>
                <c:formatCode>#,##0</c:formatCode>
                <c:ptCount val="12"/>
                <c:pt idx="0">
                  <c:v>5415.99</c:v>
                </c:pt>
                <c:pt idx="1">
                  <c:v>0</c:v>
                </c:pt>
                <c:pt idx="2">
                  <c:v>0</c:v>
                </c:pt>
                <c:pt idx="3">
                  <c:v>3665.24</c:v>
                </c:pt>
                <c:pt idx="4">
                  <c:v>27340.77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76-4C88-BFDA-10290F729489}"/>
            </c:ext>
          </c:extLst>
        </c:ser>
        <c:ser>
          <c:idx val="12"/>
          <c:order val="12"/>
          <c:tx>
            <c:strRef>
              <c:f>' 2011-2026'!$A$172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2011-2026'!$B$172:$M$172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6-41AD-A5D6-21820F1D0118}"/>
            </c:ext>
          </c:extLst>
        </c:ser>
        <c:ser>
          <c:idx val="13"/>
          <c:order val="13"/>
          <c:tx>
            <c:strRef>
              <c:f>' 2011-2026'!$A$173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2011-2026'!$B$173:$M$173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6-41AD-A5D6-21820F1D0118}"/>
            </c:ext>
          </c:extLst>
        </c:ser>
        <c:ser>
          <c:idx val="14"/>
          <c:order val="14"/>
          <c:tx>
            <c:strRef>
              <c:f>' 2011-2026'!$A$174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cat>
            <c:strRef>
              <c:f>' 2011-2026'!$B$159:$M$159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 2011-2026'!$B$174:$M$174</c:f>
              <c:numCache>
                <c:formatCode>#,##0</c:formatCode>
                <c:ptCount val="12"/>
                <c:pt idx="0">
                  <c:v>5950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11821.2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608.5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C-4FE8-92CB-3F02FE58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0786352"/>
        <c:axId val="310786896"/>
        <c:axId val="0"/>
      </c:bar3DChart>
      <c:catAx>
        <c:axId val="310786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0786896"/>
        <c:crosses val="autoZero"/>
        <c:auto val="1"/>
        <c:lblAlgn val="ctr"/>
        <c:lblOffset val="100"/>
        <c:noMultiLvlLbl val="0"/>
      </c:catAx>
      <c:valAx>
        <c:axId val="31078689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1078635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Evolución Petroquímica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7214397496087636E-2"/>
          <c:y val="0.30582385535141443"/>
          <c:w val="0.9095177088877876"/>
          <c:h val="0.5781962671332749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2011-2026'!$A$121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5993857411180191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94-43E1-9EFC-4D6BF2306D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2011-2026'!$N$121</c:f>
              <c:numCache>
                <c:formatCode>#,##0</c:formatCode>
                <c:ptCount val="1"/>
                <c:pt idx="0">
                  <c:v>10242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43E1-9EFC-4D6BF2306DC3}"/>
            </c:ext>
          </c:extLst>
        </c:ser>
        <c:ser>
          <c:idx val="1"/>
          <c:order val="1"/>
          <c:tx>
            <c:strRef>
              <c:f>' 2011-2026'!$A$122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068865517684421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94-43E1-9EFC-4D6BF2306D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2011-2026'!$N$122</c:f>
              <c:numCache>
                <c:formatCode>#,##0</c:formatCode>
                <c:ptCount val="1"/>
                <c:pt idx="0">
                  <c:v>21674.240000000002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4-43E1-9EFC-4D6BF2306DC3}"/>
            </c:ext>
          </c:extLst>
        </c:ser>
        <c:ser>
          <c:idx val="2"/>
          <c:order val="2"/>
          <c:tx>
            <c:strRef>
              <c:f>' 2011-2026'!$A$123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9123396288750618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94-43E1-9EFC-4D6BF2306DC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2011-2026'!$N$123</c:f>
              <c:numCache>
                <c:formatCode>#,##0</c:formatCode>
                <c:ptCount val="1"/>
                <c:pt idx="0">
                  <c:v>147523.48000000001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94-43E1-9EFC-4D6BF2306DC3}"/>
            </c:ext>
          </c:extLst>
        </c:ser>
        <c:ser>
          <c:idx val="3"/>
          <c:order val="3"/>
          <c:tx>
            <c:strRef>
              <c:f>' 2011-2026'!$A$124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2011-2026'!$N$124</c:f>
              <c:numCache>
                <c:formatCode>#,##0</c:formatCode>
                <c:ptCount val="1"/>
                <c:pt idx="0">
                  <c:v>83434.420000000013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94-43E1-9EFC-4D6BF2306DC3}"/>
            </c:ext>
          </c:extLst>
        </c:ser>
        <c:ser>
          <c:idx val="4"/>
          <c:order val="4"/>
          <c:tx>
            <c:strRef>
              <c:f>' 2011-2026'!$A$125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2011-2026'!$N$125</c:f>
              <c:numCache>
                <c:formatCode>#,##0</c:formatCode>
                <c:ptCount val="1"/>
                <c:pt idx="0">
                  <c:v>40247.040000000001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94-43E1-9EFC-4D6BF2306DC3}"/>
            </c:ext>
          </c:extLst>
        </c:ser>
        <c:ser>
          <c:idx val="5"/>
          <c:order val="5"/>
          <c:tx>
            <c:strRef>
              <c:f>' 2011-2026'!$A$126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2011-2026'!$N$126</c:f>
              <c:numCache>
                <c:formatCode>#,##0</c:formatCode>
                <c:ptCount val="1"/>
                <c:pt idx="0">
                  <c:v>106486.76000000001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94-43E1-9EFC-4D6BF2306DC3}"/>
            </c:ext>
          </c:extLst>
        </c:ser>
        <c:ser>
          <c:idx val="6"/>
          <c:order val="6"/>
          <c:tx>
            <c:strRef>
              <c:f>' 2011-2026'!$A$127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2011-2026'!$N$127</c:f>
              <c:numCache>
                <c:formatCode>#,##0</c:formatCode>
                <c:ptCount val="1"/>
                <c:pt idx="0">
                  <c:v>169824.93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94-43E1-9EFC-4D6BF2306DC3}"/>
            </c:ext>
          </c:extLst>
        </c:ser>
        <c:ser>
          <c:idx val="7"/>
          <c:order val="7"/>
          <c:tx>
            <c:strRef>
              <c:f>' 2011-2026'!$A$128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FF8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2011-2026'!$N$128</c:f>
              <c:numCache>
                <c:formatCode>#,##0</c:formatCode>
                <c:ptCount val="1"/>
                <c:pt idx="0">
                  <c:v>63514.159999999996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0-4B35-8DF0-8B035D6E9D9A}"/>
            </c:ext>
          </c:extLst>
        </c:ser>
        <c:ser>
          <c:idx val="8"/>
          <c:order val="8"/>
          <c:tx>
            <c:strRef>
              <c:f>' 2011-2026'!$A$129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2011-2026'!$N$129</c:f>
              <c:numCache>
                <c:formatCode>#,##0</c:formatCode>
                <c:ptCount val="1"/>
                <c:pt idx="0">
                  <c:v>816435.71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6-44B8-9B7D-DFA8A64E82F8}"/>
            </c:ext>
          </c:extLst>
        </c:ser>
        <c:ser>
          <c:idx val="9"/>
          <c:order val="9"/>
          <c:tx>
            <c:strRef>
              <c:f>' 2011-2026'!$A$130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2011-2026'!$N$130</c:f>
              <c:numCache>
                <c:formatCode>#,##0</c:formatCode>
                <c:ptCount val="1"/>
                <c:pt idx="0">
                  <c:v>193207.43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1-4CBC-80C6-352E1A8DEC4A}"/>
            </c:ext>
          </c:extLst>
        </c:ser>
        <c:ser>
          <c:idx val="10"/>
          <c:order val="10"/>
          <c:tx>
            <c:strRef>
              <c:f>' 2011-2026'!$A$131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2011-2026'!$N$131</c:f>
              <c:numCache>
                <c:formatCode>#,##0</c:formatCode>
                <c:ptCount val="1"/>
                <c:pt idx="0">
                  <c:v>40491.340000000004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82-4E87-8898-07F656D57CA7}"/>
            </c:ext>
          </c:extLst>
        </c:ser>
        <c:ser>
          <c:idx val="11"/>
          <c:order val="11"/>
          <c:tx>
            <c:strRef>
              <c:f>' 2011-2026'!$A$132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2011-2026'!$N$132</c:f>
              <c:numCache>
                <c:formatCode>#,##0</c:formatCode>
                <c:ptCount val="1"/>
                <c:pt idx="0">
                  <c:v>93975.449999999983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C-410D-8514-497F15684CB1}"/>
            </c:ext>
          </c:extLst>
        </c:ser>
        <c:ser>
          <c:idx val="12"/>
          <c:order val="12"/>
          <c:tx>
            <c:strRef>
              <c:f>' 2011-2026'!$A$133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2011-2026'!$N$133</c:f>
              <c:numCache>
                <c:formatCode>#,##0</c:formatCode>
                <c:ptCount val="1"/>
                <c:pt idx="0">
                  <c:v>141187.26999999999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B-42E4-B0D4-D106957D55BD}"/>
            </c:ext>
          </c:extLst>
        </c:ser>
        <c:ser>
          <c:idx val="13"/>
          <c:order val="13"/>
          <c:tx>
            <c:strRef>
              <c:f>' 2011-2026'!$A$134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2011-2026'!$N$134</c:f>
              <c:numCache>
                <c:formatCode>#,##0</c:formatCode>
                <c:ptCount val="1"/>
                <c:pt idx="0">
                  <c:v>238591.45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B-42E4-B0D4-D106957D55BD}"/>
            </c:ext>
          </c:extLst>
        </c:ser>
        <c:ser>
          <c:idx val="14"/>
          <c:order val="14"/>
          <c:tx>
            <c:strRef>
              <c:f>' 2011-2026'!$A$135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2011-2026'!$N$135</c:f>
              <c:numCache>
                <c:formatCode>#,##0</c:formatCode>
                <c:ptCount val="1"/>
                <c:pt idx="0">
                  <c:v>217745.05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3-41CA-B79C-0EB46EC22FF5}"/>
            </c:ext>
          </c:extLst>
        </c:ser>
        <c:ser>
          <c:idx val="15"/>
          <c:order val="15"/>
          <c:tx>
            <c:strRef>
              <c:f>' 2011-2026'!$A$136</c:f>
              <c:strCache>
                <c:ptCount val="1"/>
                <c:pt idx="0">
                  <c:v>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2011-2026'!$N$136</c:f>
              <c:numCache>
                <c:formatCode>#,##0</c:formatCode>
                <c:ptCount val="1"/>
                <c:pt idx="0">
                  <c:v>233638.8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3-41CA-B79C-0EB46EC22F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4606032"/>
        <c:axId val="324615824"/>
        <c:axId val="0"/>
      </c:bar3DChart>
      <c:catAx>
        <c:axId val="324606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4615824"/>
        <c:crosses val="autoZero"/>
        <c:auto val="1"/>
        <c:lblAlgn val="ctr"/>
        <c:lblOffset val="100"/>
        <c:noMultiLvlLbl val="0"/>
      </c:catAx>
      <c:valAx>
        <c:axId val="32461582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24606032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Evolución OC </a:t>
            </a:r>
            <a:r>
              <a:rPr lang="es-PE" baseline="0"/>
              <a:t>Industria </a:t>
            </a:r>
            <a:endParaRPr lang="es-PE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2011-2026'!$A$39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2011-2026'!$N$39</c:f>
              <c:numCache>
                <c:formatCode>#,##0</c:formatCode>
                <c:ptCount val="1"/>
                <c:pt idx="0">
                  <c:v>12143.844545454545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0-4C43-912E-79A3A05F94B2}"/>
            </c:ext>
          </c:extLst>
        </c:ser>
        <c:ser>
          <c:idx val="1"/>
          <c:order val="1"/>
          <c:tx>
            <c:strRef>
              <c:f>' 2011-2026'!$A$40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2011-2026'!$N$40</c:f>
              <c:numCache>
                <c:formatCode>#,##0</c:formatCode>
                <c:ptCount val="1"/>
                <c:pt idx="0">
                  <c:v>92311.949999999983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0-4C43-912E-79A3A05F94B2}"/>
            </c:ext>
          </c:extLst>
        </c:ser>
        <c:ser>
          <c:idx val="2"/>
          <c:order val="2"/>
          <c:tx>
            <c:strRef>
              <c:f>' 2011-2026'!$A$41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2011-2026'!$N$41</c:f>
              <c:numCache>
                <c:formatCode>#,##0</c:formatCode>
                <c:ptCount val="1"/>
                <c:pt idx="0">
                  <c:v>130610.27999999998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10-4C43-912E-79A3A05F94B2}"/>
            </c:ext>
          </c:extLst>
        </c:ser>
        <c:ser>
          <c:idx val="3"/>
          <c:order val="3"/>
          <c:tx>
            <c:strRef>
              <c:f>' 2011-2026'!$A$42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2011-2026'!$N$42</c:f>
              <c:numCache>
                <c:formatCode>#,##0</c:formatCode>
                <c:ptCount val="1"/>
                <c:pt idx="0">
                  <c:v>142209.47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10-4C43-912E-79A3A05F94B2}"/>
            </c:ext>
          </c:extLst>
        </c:ser>
        <c:ser>
          <c:idx val="4"/>
          <c:order val="4"/>
          <c:tx>
            <c:strRef>
              <c:f>' 2011-2026'!$A$43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2011-2026'!$N$43</c:f>
              <c:numCache>
                <c:formatCode>#,##0</c:formatCode>
                <c:ptCount val="1"/>
                <c:pt idx="0">
                  <c:v>118142.41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10-4C43-912E-79A3A05F94B2}"/>
            </c:ext>
          </c:extLst>
        </c:ser>
        <c:ser>
          <c:idx val="5"/>
          <c:order val="5"/>
          <c:tx>
            <c:strRef>
              <c:f>' 2011-2026'!$A$44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2011-2026'!$N$44</c:f>
              <c:numCache>
                <c:formatCode>#,##0</c:formatCode>
                <c:ptCount val="1"/>
                <c:pt idx="0">
                  <c:v>224833.02000000002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10-4C43-912E-79A3A05F94B2}"/>
            </c:ext>
          </c:extLst>
        </c:ser>
        <c:ser>
          <c:idx val="6"/>
          <c:order val="6"/>
          <c:tx>
            <c:strRef>
              <c:f>' 2011-2026'!$A$45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2011-2026'!$N$45</c:f>
              <c:numCache>
                <c:formatCode>#,##0</c:formatCode>
                <c:ptCount val="1"/>
                <c:pt idx="0">
                  <c:v>426947.11000000004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10-4C43-912E-79A3A05F94B2}"/>
            </c:ext>
          </c:extLst>
        </c:ser>
        <c:ser>
          <c:idx val="7"/>
          <c:order val="7"/>
          <c:tx>
            <c:strRef>
              <c:f>' 2011-2026'!$A$46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FF8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2011-2026'!$N$46</c:f>
              <c:numCache>
                <c:formatCode>#,##0</c:formatCode>
                <c:ptCount val="1"/>
                <c:pt idx="0">
                  <c:v>332942.13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8-4771-A986-C5BB0EF53632}"/>
            </c:ext>
          </c:extLst>
        </c:ser>
        <c:ser>
          <c:idx val="8"/>
          <c:order val="8"/>
          <c:tx>
            <c:strRef>
              <c:f>' 2011-2026'!$A$47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2011-2026'!$N$47</c:f>
              <c:numCache>
                <c:formatCode>#,##0</c:formatCode>
                <c:ptCount val="1"/>
                <c:pt idx="0">
                  <c:v>142206.1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F-49E6-BD54-EC3F659B1820}"/>
            </c:ext>
          </c:extLst>
        </c:ser>
        <c:ser>
          <c:idx val="9"/>
          <c:order val="9"/>
          <c:tx>
            <c:strRef>
              <c:f>' 2011-2026'!$A$48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2011-2026'!$N$48</c:f>
              <c:numCache>
                <c:formatCode>#,##0</c:formatCode>
                <c:ptCount val="1"/>
                <c:pt idx="0">
                  <c:v>73618.209999999992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6-4699-B710-2AC4E72BBD65}"/>
            </c:ext>
          </c:extLst>
        </c:ser>
        <c:ser>
          <c:idx val="10"/>
          <c:order val="10"/>
          <c:tx>
            <c:strRef>
              <c:f>' 2011-2026'!$A$49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2011-2026'!$N$49</c:f>
              <c:numCache>
                <c:formatCode>#,##0</c:formatCode>
                <c:ptCount val="1"/>
                <c:pt idx="0">
                  <c:v>29449.93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5-4BEC-A070-E551D78F5716}"/>
            </c:ext>
          </c:extLst>
        </c:ser>
        <c:ser>
          <c:idx val="11"/>
          <c:order val="11"/>
          <c:tx>
            <c:strRef>
              <c:f>' 2011-2026'!$A$50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2011-2026'!$N$50</c:f>
              <c:numCache>
                <c:formatCode>#,##0</c:formatCode>
                <c:ptCount val="1"/>
                <c:pt idx="0">
                  <c:v>33794.69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6-4409-97C5-451EABE600AD}"/>
            </c:ext>
          </c:extLst>
        </c:ser>
        <c:ser>
          <c:idx val="12"/>
          <c:order val="12"/>
          <c:tx>
            <c:strRef>
              <c:f>' 2011-2026'!$A$51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2011-2026'!$N$51</c:f>
              <c:numCache>
                <c:formatCode>#,##0</c:formatCode>
                <c:ptCount val="1"/>
                <c:pt idx="0">
                  <c:v>67262.289999999994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D-45FD-8150-8AAF6DCA5BC8}"/>
            </c:ext>
          </c:extLst>
        </c:ser>
        <c:ser>
          <c:idx val="13"/>
          <c:order val="13"/>
          <c:tx>
            <c:strRef>
              <c:f>' 2011-2026'!$A$52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2011-2026'!$N$52</c:f>
              <c:numCache>
                <c:formatCode>#,##0</c:formatCode>
                <c:ptCount val="1"/>
                <c:pt idx="0">
                  <c:v>122180.12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1-4F84-BC5F-57371742D92B}"/>
            </c:ext>
          </c:extLst>
        </c:ser>
        <c:ser>
          <c:idx val="14"/>
          <c:order val="14"/>
          <c:tx>
            <c:strRef>
              <c:f>' 2011-2026'!$A$53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2011-2026'!$N$53</c:f>
              <c:numCache>
                <c:formatCode>#,##0</c:formatCode>
                <c:ptCount val="1"/>
                <c:pt idx="0">
                  <c:v>82267.739999999991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A-4174-95DE-B591ED321603}"/>
            </c:ext>
          </c:extLst>
        </c:ser>
        <c:ser>
          <c:idx val="15"/>
          <c:order val="15"/>
          <c:tx>
            <c:strRef>
              <c:f>' 2011-2026'!$A$54</c:f>
              <c:strCache>
                <c:ptCount val="1"/>
                <c:pt idx="0">
                  <c:v>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2011-2026'!$N$38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2011-2026'!$N$54</c:f>
              <c:numCache>
                <c:formatCode>#,##0</c:formatCode>
                <c:ptCount val="1"/>
                <c:pt idx="0">
                  <c:v>58230.19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A-4174-95DE-B591ED3216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4616368"/>
        <c:axId val="324604944"/>
        <c:axId val="0"/>
      </c:bar3DChart>
      <c:catAx>
        <c:axId val="3246163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4604944"/>
        <c:crosses val="autoZero"/>
        <c:auto val="1"/>
        <c:lblAlgn val="ctr"/>
        <c:lblOffset val="100"/>
        <c:noMultiLvlLbl val="0"/>
      </c:catAx>
      <c:valAx>
        <c:axId val="32460494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2461636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Evolución OC Minería 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6560382468184355E-2"/>
          <c:y val="0.25229905204181718"/>
          <c:w val="0.92687923506363135"/>
          <c:h val="0.6466709091286626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2011-2026'!$A$84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.04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E97-4F5F-9197-ADE091B93E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2011-2026'!$N$84</c:f>
              <c:numCache>
                <c:formatCode>#,##0</c:formatCode>
                <c:ptCount val="1"/>
                <c:pt idx="0">
                  <c:v>295163.25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7-4F5F-9197-ADE091B93E57}"/>
            </c:ext>
          </c:extLst>
        </c:ser>
        <c:ser>
          <c:idx val="1"/>
          <c:order val="1"/>
          <c:tx>
            <c:strRef>
              <c:f>' 2011-2026'!$A$85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333333333333333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97-4F5F-9197-ADE091B93E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2011-2026'!$N$85</c:f>
              <c:numCache>
                <c:formatCode>#,##0</c:formatCode>
                <c:ptCount val="1"/>
                <c:pt idx="0">
                  <c:v>319137.5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97-4F5F-9197-ADE091B93E57}"/>
            </c:ext>
          </c:extLst>
        </c:ser>
        <c:ser>
          <c:idx val="2"/>
          <c:order val="2"/>
          <c:tx>
            <c:strRef>
              <c:f>' 2011-2026'!$A$86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.04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97-4F5F-9197-ADE091B93E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2011-2026'!$N$86</c:f>
              <c:numCache>
                <c:formatCode>#,##0</c:formatCode>
                <c:ptCount val="1"/>
                <c:pt idx="0">
                  <c:v>326720.06000000006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97-4F5F-9197-ADE091B93E57}"/>
            </c:ext>
          </c:extLst>
        </c:ser>
        <c:ser>
          <c:idx val="3"/>
          <c:order val="3"/>
          <c:tx>
            <c:strRef>
              <c:f>' 2011-2026'!$A$87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333333333333334E-2"/>
                  <c:y val="-3.4632034632034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97-4F5F-9197-ADE091B93E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2011-2026'!$N$87</c:f>
              <c:numCache>
                <c:formatCode>#,##0</c:formatCode>
                <c:ptCount val="1"/>
                <c:pt idx="0">
                  <c:v>521324.35000000003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97-4F5F-9197-ADE091B93E57}"/>
            </c:ext>
          </c:extLst>
        </c:ser>
        <c:ser>
          <c:idx val="4"/>
          <c:order val="4"/>
          <c:tx>
            <c:strRef>
              <c:f>' 2011-2026'!$A$88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2011-2026'!$N$88</c:f>
              <c:numCache>
                <c:formatCode>#,##0</c:formatCode>
                <c:ptCount val="1"/>
                <c:pt idx="0">
                  <c:v>916096.46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97-4F5F-9197-ADE091B93E57}"/>
            </c:ext>
          </c:extLst>
        </c:ser>
        <c:ser>
          <c:idx val="5"/>
          <c:order val="5"/>
          <c:tx>
            <c:strRef>
              <c:f>' 2011-2026'!$A$89</c:f>
              <c:strCache>
                <c:ptCount val="1"/>
                <c:pt idx="0">
                  <c:v>2106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2011-2026'!$N$89</c:f>
              <c:numCache>
                <c:formatCode>#,##0</c:formatCode>
                <c:ptCount val="1"/>
                <c:pt idx="0">
                  <c:v>307324.06000000006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97-4F5F-9197-ADE091B93E57}"/>
            </c:ext>
          </c:extLst>
        </c:ser>
        <c:ser>
          <c:idx val="6"/>
          <c:order val="6"/>
          <c:tx>
            <c:strRef>
              <c:f>' 2011-2026'!$A$90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2011-2026'!$N$90</c:f>
              <c:numCache>
                <c:formatCode>#,##0</c:formatCode>
                <c:ptCount val="1"/>
                <c:pt idx="0">
                  <c:v>451485.64000000007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97-4F5F-9197-ADE091B93E57}"/>
            </c:ext>
          </c:extLst>
        </c:ser>
        <c:ser>
          <c:idx val="7"/>
          <c:order val="7"/>
          <c:tx>
            <c:strRef>
              <c:f>' 2011-2026'!$A$91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FF8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2011-2026'!$N$91</c:f>
              <c:numCache>
                <c:formatCode>#,##0</c:formatCode>
                <c:ptCount val="1"/>
                <c:pt idx="0">
                  <c:v>782120.1399999999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4-4F41-ABE3-4C270302EE9E}"/>
            </c:ext>
          </c:extLst>
        </c:ser>
        <c:ser>
          <c:idx val="8"/>
          <c:order val="8"/>
          <c:tx>
            <c:strRef>
              <c:f>' 2011-2026'!$A$92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2011-2026'!$N$92</c:f>
              <c:numCache>
                <c:formatCode>#,##0</c:formatCode>
                <c:ptCount val="1"/>
                <c:pt idx="0">
                  <c:v>359158.08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2-4E1C-8689-E24D3616C52A}"/>
            </c:ext>
          </c:extLst>
        </c:ser>
        <c:ser>
          <c:idx val="9"/>
          <c:order val="9"/>
          <c:tx>
            <c:strRef>
              <c:f>' 2011-2026'!$A$93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2011-2026'!$N$93</c:f>
              <c:numCache>
                <c:formatCode>#,##0</c:formatCode>
                <c:ptCount val="1"/>
                <c:pt idx="0">
                  <c:v>717061.69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7-4CD3-AC8F-A065F71F75D9}"/>
            </c:ext>
          </c:extLst>
        </c:ser>
        <c:ser>
          <c:idx val="10"/>
          <c:order val="10"/>
          <c:tx>
            <c:strRef>
              <c:f>' 2011-2026'!$A$94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2011-2026'!$N$94</c:f>
              <c:numCache>
                <c:formatCode>#,##0</c:formatCode>
                <c:ptCount val="1"/>
                <c:pt idx="0">
                  <c:v>424770.82999999996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7-4E91-8440-35DB5DAA2EDC}"/>
            </c:ext>
          </c:extLst>
        </c:ser>
        <c:ser>
          <c:idx val="11"/>
          <c:order val="11"/>
          <c:tx>
            <c:strRef>
              <c:f>' 2011-2026'!$A$95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2011-2026'!$N$95</c:f>
              <c:numCache>
                <c:formatCode>#,##0</c:formatCode>
                <c:ptCount val="1"/>
                <c:pt idx="0">
                  <c:v>1569353.52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6-45F2-AF20-DD8DDBE6810D}"/>
            </c:ext>
          </c:extLst>
        </c:ser>
        <c:ser>
          <c:idx val="12"/>
          <c:order val="12"/>
          <c:tx>
            <c:strRef>
              <c:f>' 2011-2026'!$A$96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2011-2026'!$N$96</c:f>
              <c:numCache>
                <c:formatCode>#,##0</c:formatCode>
                <c:ptCount val="1"/>
                <c:pt idx="0">
                  <c:v>1086984.97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85-4ED6-9FDC-6F912D22F59D}"/>
            </c:ext>
          </c:extLst>
        </c:ser>
        <c:ser>
          <c:idx val="13"/>
          <c:order val="13"/>
          <c:tx>
            <c:strRef>
              <c:f>' 2011-2026'!$A$97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2011-2026'!$N$97</c:f>
              <c:numCache>
                <c:formatCode>#,##0</c:formatCode>
                <c:ptCount val="1"/>
                <c:pt idx="0">
                  <c:v>962094.23999999987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85-4ED6-9FDC-6F912D22F59D}"/>
            </c:ext>
          </c:extLst>
        </c:ser>
        <c:ser>
          <c:idx val="14"/>
          <c:order val="14"/>
          <c:tx>
            <c:strRef>
              <c:f>' 2011-2026'!$A$98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2011-2026'!$N$98</c:f>
              <c:numCache>
                <c:formatCode>#,##0</c:formatCode>
                <c:ptCount val="1"/>
                <c:pt idx="0">
                  <c:v>747960.39000000013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D-4647-880D-B439A6FB1057}"/>
            </c:ext>
          </c:extLst>
        </c:ser>
        <c:ser>
          <c:idx val="15"/>
          <c:order val="15"/>
          <c:tx>
            <c:strRef>
              <c:f>' 2011-2026'!$A$99</c:f>
              <c:strCache>
                <c:ptCount val="1"/>
                <c:pt idx="0">
                  <c:v>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2011-2026'!$N$83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2011-2026'!$N$99</c:f>
              <c:numCache>
                <c:formatCode>#,##0</c:formatCode>
                <c:ptCount val="1"/>
                <c:pt idx="0">
                  <c:v>1144091.1100000001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D-4647-880D-B439A6FB10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4619088"/>
        <c:axId val="324611472"/>
        <c:axId val="0"/>
      </c:bar3DChart>
      <c:catAx>
        <c:axId val="3246190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4611472"/>
        <c:crosses val="autoZero"/>
        <c:auto val="1"/>
        <c:lblAlgn val="ctr"/>
        <c:lblOffset val="100"/>
        <c:noMultiLvlLbl val="0"/>
      </c:catAx>
      <c:valAx>
        <c:axId val="32461147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24619088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Evolución Anual Safety</a:t>
            </a:r>
            <a:endParaRPr lang="es-ES">
              <a:effectLst/>
            </a:endParaRP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144506687154547E-2"/>
          <c:y val="0.30932074030266343"/>
          <c:w val="0.93487203777328565"/>
          <c:h val="0.5733732322390631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2011-2026'!$A$160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5634743875278339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9F-42A8-8F7B-9864BE09F8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2011-2026'!$N$160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F-42A8-8F7B-9864BE09F8EE}"/>
            </c:ext>
          </c:extLst>
        </c:ser>
        <c:ser>
          <c:idx val="1"/>
          <c:order val="1"/>
          <c:tx>
            <c:strRef>
              <c:f>' 2011-2026'!$A$161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454342984409794E-2"/>
                  <c:y val="-4.6296296296296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9F-42A8-8F7B-9864BE09F8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2011-2026'!$N$161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9F-42A8-8F7B-9864BE09F8EE}"/>
            </c:ext>
          </c:extLst>
        </c:ser>
        <c:ser>
          <c:idx val="2"/>
          <c:order val="2"/>
          <c:tx>
            <c:strRef>
              <c:f>' 2011-2026'!$A$162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4543429844097995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9F-42A8-8F7B-9864BE09F8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9F-42A8-8F7B-9864BE09F8EE}"/>
            </c:ext>
          </c:extLst>
        </c:ser>
        <c:ser>
          <c:idx val="3"/>
          <c:order val="3"/>
          <c:tx>
            <c:strRef>
              <c:f>' 2011-2026'!$A$163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9F-42A8-8F7B-9864BE09F8EE}"/>
            </c:ext>
          </c:extLst>
        </c:ser>
        <c:ser>
          <c:idx val="4"/>
          <c:order val="4"/>
          <c:tx>
            <c:strRef>
              <c:f>' 2011-2026'!$A$164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9F-42A8-8F7B-9864BE09F8EE}"/>
            </c:ext>
          </c:extLst>
        </c:ser>
        <c:ser>
          <c:idx val="5"/>
          <c:order val="5"/>
          <c:tx>
            <c:strRef>
              <c:f>' 2011-2026'!$A$165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2-4790-829B-34D24ACF5F5D}"/>
            </c:ext>
          </c:extLst>
        </c:ser>
        <c:ser>
          <c:idx val="6"/>
          <c:order val="6"/>
          <c:tx>
            <c:strRef>
              <c:f>' 2011-2026'!$A$166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2-4790-829B-34D24ACF5F5D}"/>
            </c:ext>
          </c:extLst>
        </c:ser>
        <c:ser>
          <c:idx val="7"/>
          <c:order val="7"/>
          <c:tx>
            <c:strRef>
              <c:f>' 2011-2026'!$A$167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FF8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2011-2026'!$N$167</c:f>
              <c:numCache>
                <c:formatCode>#,##0</c:formatCode>
                <c:ptCount val="1"/>
                <c:pt idx="0">
                  <c:v>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2-4790-829B-34D24ACF5F5D}"/>
            </c:ext>
          </c:extLst>
        </c:ser>
        <c:ser>
          <c:idx val="8"/>
          <c:order val="8"/>
          <c:tx>
            <c:strRef>
              <c:f>' 2011-2026'!$A$168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2011-2026'!$N$168</c:f>
              <c:numCache>
                <c:formatCode>#,##0</c:formatCode>
                <c:ptCount val="1"/>
                <c:pt idx="0">
                  <c:v>7377.02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8-4BBF-816E-82AF8949F48D}"/>
            </c:ext>
          </c:extLst>
        </c:ser>
        <c:ser>
          <c:idx val="9"/>
          <c:order val="9"/>
          <c:tx>
            <c:strRef>
              <c:f>' 2011-2026'!$A$169</c:f>
              <c:strCache>
                <c:ptCount val="1"/>
                <c:pt idx="0">
                  <c:v>2020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2011-2026'!$N$169</c:f>
              <c:numCache>
                <c:formatCode>#,##0</c:formatCode>
                <c:ptCount val="1"/>
                <c:pt idx="0">
                  <c:v>286161.92000000004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5-4275-8EB4-AA1F93C07990}"/>
            </c:ext>
          </c:extLst>
        </c:ser>
        <c:ser>
          <c:idx val="10"/>
          <c:order val="10"/>
          <c:tx>
            <c:strRef>
              <c:f>' 2011-2026'!$A$170</c:f>
              <c:strCache>
                <c:ptCount val="1"/>
                <c:pt idx="0">
                  <c:v>2021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2011-2026'!$N$170</c:f>
              <c:numCache>
                <c:formatCode>#,##0</c:formatCode>
                <c:ptCount val="1"/>
                <c:pt idx="0">
                  <c:v>114530.38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2-45C2-BF4B-1EC3C66648F1}"/>
            </c:ext>
          </c:extLst>
        </c:ser>
        <c:ser>
          <c:idx val="11"/>
          <c:order val="11"/>
          <c:tx>
            <c:strRef>
              <c:f>' 2011-2026'!$A$171</c:f>
              <c:strCache>
                <c:ptCount val="1"/>
                <c:pt idx="0">
                  <c:v>2022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2011-2026'!$N$171</c:f>
              <c:numCache>
                <c:formatCode>#,##0</c:formatCode>
                <c:ptCount val="1"/>
                <c:pt idx="0">
                  <c:v>36422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0-4C8B-85E6-0417EF9E3F93}"/>
            </c:ext>
          </c:extLst>
        </c:ser>
        <c:ser>
          <c:idx val="12"/>
          <c:order val="12"/>
          <c:tx>
            <c:strRef>
              <c:f>' 2011-2026'!$A$172</c:f>
              <c:strCache>
                <c:ptCount val="1"/>
                <c:pt idx="0">
                  <c:v>2023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2011-2026'!$N$172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9-4431-BDF7-28C627FF6B3F}"/>
            </c:ext>
          </c:extLst>
        </c:ser>
        <c:ser>
          <c:idx val="13"/>
          <c:order val="13"/>
          <c:tx>
            <c:strRef>
              <c:f>' 2011-2026'!$A$173</c:f>
              <c:strCache>
                <c:ptCount val="1"/>
                <c:pt idx="0">
                  <c:v>2024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2011-2026'!$N$173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E9-4431-BDF7-28C627FF6B3F}"/>
            </c:ext>
          </c:extLst>
        </c:ser>
        <c:ser>
          <c:idx val="14"/>
          <c:order val="14"/>
          <c:tx>
            <c:strRef>
              <c:f>' 2011-2026'!$A$174</c:f>
              <c:strCache>
                <c:ptCount val="1"/>
                <c:pt idx="0">
                  <c:v>2025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2011-2026'!$N$174</c:f>
              <c:numCache>
                <c:formatCode>#,##0</c:formatCode>
                <c:ptCount val="1"/>
                <c:pt idx="0">
                  <c:v>17771.2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5-40CB-A9EE-9616FC8C13C3}"/>
            </c:ext>
          </c:extLst>
        </c:ser>
        <c:ser>
          <c:idx val="15"/>
          <c:order val="15"/>
          <c:tx>
            <c:strRef>
              <c:f>' 2011-2026'!$A$175</c:f>
              <c:strCache>
                <c:ptCount val="1"/>
                <c:pt idx="0">
                  <c:v>2026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2011-2026'!$N$159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 2011-2026'!$N$175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5-40CB-A9EE-9616FC8C13C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4614736"/>
        <c:axId val="324612560"/>
        <c:axId val="0"/>
      </c:bar3DChart>
      <c:catAx>
        <c:axId val="324614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4612560"/>
        <c:crosses val="autoZero"/>
        <c:auto val="1"/>
        <c:lblAlgn val="ctr"/>
        <c:lblOffset val="100"/>
        <c:noMultiLvlLbl val="0"/>
      </c:catAx>
      <c:valAx>
        <c:axId val="3246125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2461473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PE"/>
              <a:t>Evolución OC vs HH y 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57021150927512E-2"/>
          <c:y val="1.8586212739887909E-2"/>
          <c:w val="0.95530631445866965"/>
          <c:h val="0.8371553148224522"/>
        </c:manualLayout>
      </c:layout>
      <c:bar3DChart>
        <c:barDir val="col"/>
        <c:grouping val="clustered"/>
        <c:varyColors val="0"/>
        <c:ser>
          <c:idx val="1"/>
          <c:order val="0"/>
          <c:tx>
            <c:strRef>
              <c:f>' 2011-2026'!$F$2</c:f>
              <c:strCache>
                <c:ptCount val="1"/>
                <c:pt idx="0">
                  <c:v>Montos 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CBD-499B-9D3A-A8C68A7E7B7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CBD-499B-9D3A-A8C68A7E7B7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CBD-499B-9D3A-A8C68A7E7B7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CBD-499B-9D3A-A8C68A7E7B7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0CBD-499B-9D3A-A8C68A7E7B7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0CBD-499B-9D3A-A8C68A7E7B7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8B50-4B99-930F-292657E8FC2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8DB9-4025-B5C3-B629E663AC2C}"/>
              </c:ext>
            </c:extLst>
          </c:dPt>
          <c:dPt>
            <c:idx val="8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4E77-4B6C-8DCF-A306250BE37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A922-49C9-9493-7E6D4067D5EA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8E3E-4EB5-A4A8-ECEBA4C8719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92F5-4AFF-8D79-3D729064A10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D622-4D38-A176-EF8C23483682}"/>
              </c:ext>
            </c:extLst>
          </c:dPt>
          <c:dLbls>
            <c:dLbl>
              <c:idx val="0"/>
              <c:layout>
                <c:manualLayout>
                  <c:x val="2.0744673885508039E-3"/>
                  <c:y val="-1.1910407677187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BD-499B-9D3A-A8C68A7E7B7D}"/>
                </c:ext>
              </c:extLst>
            </c:dLbl>
            <c:dLbl>
              <c:idx val="1"/>
              <c:layout>
                <c:manualLayout>
                  <c:x val="1.0372186422699714E-2"/>
                  <c:y val="-5.8123272003190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BD-499B-9D3A-A8C68A7E7B7D}"/>
                </c:ext>
              </c:extLst>
            </c:dLbl>
            <c:dLbl>
              <c:idx val="2"/>
              <c:layout>
                <c:manualLayout>
                  <c:x val="4.1489347771015896E-3"/>
                  <c:y val="-8.71861646155010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BD-499B-9D3A-A8C68A7E7B7D}"/>
                </c:ext>
              </c:extLst>
            </c:dLbl>
            <c:dLbl>
              <c:idx val="3"/>
              <c:layout>
                <c:manualLayout>
                  <c:x val="1.4521121199801373E-2"/>
                  <c:y val="-1.76377879931851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BD-499B-9D3A-A8C68A7E7B7D}"/>
                </c:ext>
              </c:extLst>
            </c:dLbl>
            <c:dLbl>
              <c:idx val="4"/>
              <c:layout>
                <c:manualLayout>
                  <c:x val="8.2977190341489357E-3"/>
                  <c:y val="-1.3959939753055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BD-499B-9D3A-A8C68A7E7B7D}"/>
                </c:ext>
              </c:extLst>
            </c:dLbl>
            <c:dLbl>
              <c:idx val="5"/>
              <c:layout>
                <c:manualLayout>
                  <c:x val="1.2609516510017868E-2"/>
                  <c:y val="-7.57635732178058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BD-499B-9D3A-A8C68A7E7B7D}"/>
                </c:ext>
              </c:extLst>
            </c:dLbl>
            <c:dLbl>
              <c:idx val="6"/>
              <c:layout>
                <c:manualLayout>
                  <c:x val="3.0943094418299072E-3"/>
                  <c:y val="-2.5534251427277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B50-4B99-930F-292657E8FC28}"/>
                </c:ext>
              </c:extLst>
            </c:dLbl>
            <c:dLbl>
              <c:idx val="7"/>
              <c:layout>
                <c:manualLayout>
                  <c:x val="1.219862118296354E-2"/>
                  <c:y val="-1.6953123279241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9-4025-B5C3-B629E663AC2C}"/>
                </c:ext>
              </c:extLst>
            </c:dLbl>
            <c:dLbl>
              <c:idx val="8"/>
              <c:layout>
                <c:manualLayout>
                  <c:x val="1.0884548084133843E-2"/>
                  <c:y val="-2.7190785107157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E77-4B6C-8DCF-A306250BE378}"/>
                </c:ext>
              </c:extLst>
            </c:dLbl>
            <c:dLbl>
              <c:idx val="9"/>
              <c:layout>
                <c:manualLayout>
                  <c:x val="-1.3355511788007413E-16"/>
                  <c:y val="-1.391082612781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922-49C9-9493-7E6D4067D5EA}"/>
                </c:ext>
              </c:extLst>
            </c:dLbl>
            <c:dLbl>
              <c:idx val="10"/>
              <c:layout>
                <c:manualLayout>
                  <c:x val="2.0033509132759482E-2"/>
                  <c:y val="-2.36938063602313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3E-4EB5-A4A8-ECEBA4C87191}"/>
                </c:ext>
              </c:extLst>
            </c:dLbl>
            <c:dLbl>
              <c:idx val="11"/>
              <c:layout>
                <c:manualLayout>
                  <c:x val="2.5390886332697735E-2"/>
                  <c:y val="-5.90431293788383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2F5-4AFF-8D79-3D729064A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 2011-2026'!$E$5:$E$17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' 2011-2026'!$F$5:$F$17</c:f>
              <c:numCache>
                <c:formatCode>#,##0.00</c:formatCode>
                <c:ptCount val="13"/>
                <c:pt idx="0">
                  <c:v>1469563.62</c:v>
                </c:pt>
                <c:pt idx="1">
                  <c:v>1886500.0299999996</c:v>
                </c:pt>
                <c:pt idx="2">
                  <c:v>1143432.8700000001</c:v>
                </c:pt>
                <c:pt idx="3">
                  <c:v>1755581.87</c:v>
                </c:pt>
                <c:pt idx="4">
                  <c:v>2040281.02</c:v>
                </c:pt>
                <c:pt idx="5">
                  <c:v>2650233.06</c:v>
                </c:pt>
                <c:pt idx="6">
                  <c:v>1732121.3199999998</c:v>
                </c:pt>
                <c:pt idx="7">
                  <c:v>1434996.8800000004</c:v>
                </c:pt>
                <c:pt idx="8">
                  <c:v>1968764.0399999998</c:v>
                </c:pt>
                <c:pt idx="9">
                  <c:v>1676545.3567999997</c:v>
                </c:pt>
                <c:pt idx="10">
                  <c:v>1697269.3701333329</c:v>
                </c:pt>
                <c:pt idx="11">
                  <c:v>1683041.98</c:v>
                </c:pt>
                <c:pt idx="12">
                  <c:v>1435960.1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BD-499B-9D3A-A8C68A7E7B7D}"/>
            </c:ext>
          </c:extLst>
        </c:ser>
        <c:ser>
          <c:idx val="0"/>
          <c:order val="1"/>
          <c:tx>
            <c:strRef>
              <c:f>' 2011-2026'!$G$2</c:f>
              <c:strCache>
                <c:ptCount val="1"/>
                <c:pt idx="0">
                  <c:v>HH+Utilidad</c:v>
                </c:pt>
              </c:strCache>
            </c:strRef>
          </c:tx>
          <c:spPr>
            <a:solidFill>
              <a:srgbClr val="00DFDA"/>
            </a:solidFill>
            <a:ln>
              <a:noFill/>
            </a:ln>
            <a:effectLst/>
            <a:sp3d/>
          </c:spPr>
          <c:invertIfNegative val="0"/>
          <c:dLbls>
            <c:dLbl>
              <c:idx val="11"/>
              <c:layout>
                <c:manualLayout>
                  <c:x val="1.9953693718657205E-2"/>
                  <c:y val="5.90431293788383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2F5-4AFF-8D79-3D729064A1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 2011-2026'!$E$5:$E$17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' 2011-2026'!$G$5:$G$17</c:f>
              <c:numCache>
                <c:formatCode>#,##0.00</c:formatCode>
                <c:ptCount val="13"/>
                <c:pt idx="0">
                  <c:v>766989.81530000002</c:v>
                </c:pt>
                <c:pt idx="1">
                  <c:v>732610.42991158995</c:v>
                </c:pt>
                <c:pt idx="2">
                  <c:v>546600.85</c:v>
                </c:pt>
                <c:pt idx="3">
                  <c:v>586456.22</c:v>
                </c:pt>
                <c:pt idx="4">
                  <c:v>815521.11</c:v>
                </c:pt>
                <c:pt idx="5">
                  <c:v>706732.22</c:v>
                </c:pt>
                <c:pt idx="6">
                  <c:v>820464.8899999999</c:v>
                </c:pt>
                <c:pt idx="7">
                  <c:v>475934.45</c:v>
                </c:pt>
                <c:pt idx="8">
                  <c:v>764082.81000000017</c:v>
                </c:pt>
                <c:pt idx="9">
                  <c:v>832552.58679999993</c:v>
                </c:pt>
                <c:pt idx="10">
                  <c:v>865726.07680000016</c:v>
                </c:pt>
                <c:pt idx="11">
                  <c:v>787520.06</c:v>
                </c:pt>
                <c:pt idx="12">
                  <c:v>647191.24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C47-4C7F-B540-7D3006DF3A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4613104"/>
        <c:axId val="324606576"/>
        <c:axId val="0"/>
      </c:bar3DChart>
      <c:catAx>
        <c:axId val="32461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4606576"/>
        <c:crosses val="autoZero"/>
        <c:auto val="1"/>
        <c:lblAlgn val="ctr"/>
        <c:lblOffset val="100"/>
        <c:noMultiLvlLbl val="0"/>
      </c:catAx>
      <c:valAx>
        <c:axId val="3246065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0" sourceLinked="1"/>
        <c:majorTickMark val="none"/>
        <c:minorTickMark val="none"/>
        <c:tickLblPos val="nextTo"/>
        <c:crossAx val="32461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baseline="0">
                <a:effectLst/>
              </a:rPr>
              <a:t>% OC Área</a:t>
            </a:r>
            <a:endParaRPr lang="es-PE">
              <a:effectLst/>
            </a:endParaRPr>
          </a:p>
        </c:rich>
      </c:tx>
      <c:layout>
        <c:manualLayout>
          <c:xMode val="edge"/>
          <c:yMode val="edge"/>
          <c:x val="0.39389097726242112"/>
          <c:y val="5.5980511141737951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34142466233892343"/>
          <c:w val="1"/>
          <c:h val="0.64136506291732653"/>
        </c:manualLayout>
      </c:layout>
      <c:pie3DChart>
        <c:varyColors val="1"/>
        <c:ser>
          <c:idx val="0"/>
          <c:order val="0"/>
          <c:tx>
            <c:strRef>
              <c:f>' 2011-2026'!$B$1</c:f>
              <c:strCache>
                <c:ptCount val="1"/>
                <c:pt idx="0">
                  <c:v>Monto OC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DBF3-45C4-985B-5FA74CF220F5}"/>
              </c:ext>
            </c:extLst>
          </c:dPt>
          <c:dPt>
            <c:idx val="1"/>
            <c:bubble3D val="0"/>
            <c:spPr>
              <a:solidFill>
                <a:srgbClr val="E7E200"/>
              </a:solidFill>
            </c:spPr>
            <c:extLst>
              <c:ext xmlns:c16="http://schemas.microsoft.com/office/drawing/2014/chart" uri="{C3380CC4-5D6E-409C-BE32-E72D297353CC}">
                <c16:uniqueId val="{00000003-DBF3-45C4-985B-5FA74CF220F5}"/>
              </c:ext>
            </c:extLst>
          </c:dPt>
          <c:dPt>
            <c:idx val="2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05-DBF3-45C4-985B-5FA74CF220F5}"/>
              </c:ext>
            </c:extLst>
          </c:dPt>
          <c:dLbls>
            <c:dLbl>
              <c:idx val="0"/>
              <c:layout>
                <c:manualLayout>
                  <c:x val="8.7008991614364178E-2"/>
                  <c:y val="-7.7261484786107035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F3-45C4-985B-5FA74CF220F5}"/>
                </c:ext>
              </c:extLst>
            </c:dLbl>
            <c:dLbl>
              <c:idx val="1"/>
              <c:layout>
                <c:manualLayout>
                  <c:x val="-0.12403147488166254"/>
                  <c:y val="-0.1750030120747464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F3-45C4-985B-5FA74CF220F5}"/>
                </c:ext>
              </c:extLst>
            </c:dLbl>
            <c:dLbl>
              <c:idx val="2"/>
              <c:layout>
                <c:manualLayout>
                  <c:x val="-8.9536681209779964E-2"/>
                  <c:y val="3.861802058029125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F3-45C4-985B-5FA74CF220F5}"/>
                </c:ext>
              </c:extLst>
            </c:dLbl>
            <c:dLbl>
              <c:idx val="3"/>
              <c:layout>
                <c:manualLayout>
                  <c:x val="-8.1869332228380998E-2"/>
                  <c:y val="-4.111921475192345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87-487A-8D4C-C4CA8A23514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 2011-2026'!$A$2:$A$5</c:f>
              <c:strCache>
                <c:ptCount val="4"/>
                <c:pt idx="0">
                  <c:v>IND</c:v>
                </c:pt>
                <c:pt idx="1">
                  <c:v>MIN</c:v>
                </c:pt>
                <c:pt idx="2">
                  <c:v>OIL</c:v>
                </c:pt>
                <c:pt idx="3">
                  <c:v>SFY</c:v>
                </c:pt>
              </c:strCache>
            </c:strRef>
          </c:cat>
          <c:val>
            <c:numRef>
              <c:f>' 2011-2026'!$B$2:$B$5</c:f>
              <c:numCache>
                <c:formatCode>#,##0.00</c:formatCode>
                <c:ptCount val="4"/>
                <c:pt idx="0">
                  <c:v>58230.19</c:v>
                </c:pt>
                <c:pt idx="1">
                  <c:v>1144091.1100000001</c:v>
                </c:pt>
                <c:pt idx="2">
                  <c:v>233638.8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F3-45C4-985B-5FA74CF220F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EVOLUCIÓN OC MENSUAL</a:t>
            </a:r>
            <a:r>
              <a:rPr lang="es-PE" baseline="0"/>
              <a:t> </a:t>
            </a:r>
            <a:r>
              <a:rPr lang="es-PE"/>
              <a:t>2026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8A3E-4C6E-B1E6-1DD20C4250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A3E-4C6E-B1E6-1DD20C4250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A3E-4C6E-B1E6-1DD20C42503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8A3E-4C6E-B1E6-1DD20C42503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8A3E-4C6E-B1E6-1DD20C4250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8A3E-4C6E-B1E6-1DD20C42503E}"/>
              </c:ext>
            </c:extLst>
          </c:dPt>
          <c:dPt>
            <c:idx val="6"/>
            <c:invertIfNegative val="0"/>
            <c:bubble3D val="0"/>
            <c:spPr>
              <a:solidFill>
                <a:srgbClr val="00FFCC"/>
              </a:solidFill>
            </c:spPr>
            <c:extLst>
              <c:ext xmlns:c16="http://schemas.microsoft.com/office/drawing/2014/chart" uri="{C3380CC4-5D6E-409C-BE32-E72D297353CC}">
                <c16:uniqueId val="{0000000D-8A3E-4C6E-B1E6-1DD20C42503E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F-8A3E-4C6E-B1E6-1DD20C42503E}"/>
              </c:ext>
            </c:extLst>
          </c:dPt>
          <c:dPt>
            <c:idx val="8"/>
            <c:invertIfNegative val="0"/>
            <c:bubble3D val="0"/>
            <c:spPr>
              <a:solidFill>
                <a:srgbClr val="FFFF99"/>
              </a:solidFill>
            </c:spPr>
            <c:extLst>
              <c:ext xmlns:c16="http://schemas.microsoft.com/office/drawing/2014/chart" uri="{C3380CC4-5D6E-409C-BE32-E72D297353CC}">
                <c16:uniqueId val="{00000011-8A3E-4C6E-B1E6-1DD20C42503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8A3E-4C6E-B1E6-1DD20C42503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D0BC-4219-88AB-42622E0CAB9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15-44B2-4D53-A2F1-C86EEB4FB04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2011-2026'!$K$198:$K$209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 2011-2026'!$L$198:$L$209</c:f>
              <c:numCache>
                <c:formatCode>#,##0</c:formatCode>
                <c:ptCount val="12"/>
                <c:pt idx="0">
                  <c:v>593304.39</c:v>
                </c:pt>
                <c:pt idx="1">
                  <c:v>107221.34</c:v>
                </c:pt>
                <c:pt idx="2">
                  <c:v>260367.91</c:v>
                </c:pt>
                <c:pt idx="3">
                  <c:v>46334.09</c:v>
                </c:pt>
                <c:pt idx="4">
                  <c:v>47217.8</c:v>
                </c:pt>
                <c:pt idx="5">
                  <c:v>88748.97</c:v>
                </c:pt>
                <c:pt idx="6">
                  <c:v>292765.59999999998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3E-4C6E-B1E6-1DD20C425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4608208"/>
        <c:axId val="324609840"/>
        <c:axId val="0"/>
      </c:bar3DChart>
      <c:catAx>
        <c:axId val="3246082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4609840"/>
        <c:crosses val="autoZero"/>
        <c:auto val="1"/>
        <c:lblAlgn val="ctr"/>
        <c:lblOffset val="100"/>
        <c:noMultiLvlLbl val="0"/>
      </c:catAx>
      <c:valAx>
        <c:axId val="32460984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24608208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accent1">
          <a:alpha val="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EVOLUCIÓN OC MENSUAL MINERÍA</a:t>
            </a:r>
            <a:r>
              <a:rPr lang="es-PE" baseline="0"/>
              <a:t> </a:t>
            </a:r>
            <a:r>
              <a:rPr lang="es-PE"/>
              <a:t>2026 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BA0-4629-ABFC-FD4C085F869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BA0-4629-ABFC-FD4C085F869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6BA0-4629-ABFC-FD4C085F869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6BA0-4629-ABFC-FD4C085F869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6BA0-4629-ABFC-FD4C085F869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6BA0-4629-ABFC-FD4C085F869F}"/>
              </c:ext>
            </c:extLst>
          </c:dPt>
          <c:dPt>
            <c:idx val="6"/>
            <c:invertIfNegative val="0"/>
            <c:bubble3D val="0"/>
            <c:spPr>
              <a:solidFill>
                <a:srgbClr val="00FFCC"/>
              </a:solidFill>
            </c:spPr>
            <c:extLst>
              <c:ext xmlns:c16="http://schemas.microsoft.com/office/drawing/2014/chart" uri="{C3380CC4-5D6E-409C-BE32-E72D297353CC}">
                <c16:uniqueId val="{0000000D-6BA0-4629-ABFC-FD4C085F869F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F-6BA0-4629-ABFC-FD4C085F869F}"/>
              </c:ext>
            </c:extLst>
          </c:dPt>
          <c:dPt>
            <c:idx val="8"/>
            <c:invertIfNegative val="0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11-6BA0-4629-ABFC-FD4C085F869F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6BA0-4629-ABFC-FD4C085F869F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785B-466B-8F6F-5DA1B0B7830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C4A-4705-9EF9-4AE8A306C83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2011-2026'!$K$198:$K$209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 2011-2026'!$M$198:$M$209</c:f>
              <c:numCache>
                <c:formatCode>#,##0</c:formatCode>
                <c:ptCount val="12"/>
                <c:pt idx="0">
                  <c:v>555391.25</c:v>
                </c:pt>
                <c:pt idx="1">
                  <c:v>78565.289999999994</c:v>
                </c:pt>
                <c:pt idx="2">
                  <c:v>88547.91</c:v>
                </c:pt>
                <c:pt idx="3">
                  <c:v>36334.089999999997</c:v>
                </c:pt>
                <c:pt idx="4">
                  <c:v>45797.8</c:v>
                </c:pt>
                <c:pt idx="5">
                  <c:v>66020.17</c:v>
                </c:pt>
                <c:pt idx="6">
                  <c:v>273434.59999999998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A0-4629-ABFC-FD4C085F86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3048736"/>
        <c:axId val="323037312"/>
        <c:axId val="0"/>
      </c:bar3DChart>
      <c:catAx>
        <c:axId val="323048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3037312"/>
        <c:crosses val="autoZero"/>
        <c:auto val="1"/>
        <c:lblAlgn val="ctr"/>
        <c:lblOffset val="100"/>
        <c:noMultiLvlLbl val="0"/>
      </c:catAx>
      <c:valAx>
        <c:axId val="32303731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2304873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accent1">
          <a:alpha val="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sz="1800" b="1" i="0" baseline="0">
                <a:effectLst/>
              </a:rPr>
              <a:t>EVOLUCIÓN OC MENSUAL INDUSTRIA 2026 </a:t>
            </a:r>
            <a:endParaRPr lang="es-PE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35F-4261-A333-CF88ADFA34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C35F-4261-A333-CF88ADFA34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C35F-4261-A333-CF88ADFA349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C35F-4261-A333-CF88ADFA349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C35F-4261-A333-CF88ADFA349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C35F-4261-A333-CF88ADFA3492}"/>
              </c:ext>
            </c:extLst>
          </c:dPt>
          <c:dPt>
            <c:idx val="6"/>
            <c:invertIfNegative val="0"/>
            <c:bubble3D val="0"/>
            <c:spPr>
              <a:solidFill>
                <a:srgbClr val="00FFCC"/>
              </a:solidFill>
            </c:spPr>
            <c:extLst>
              <c:ext xmlns:c16="http://schemas.microsoft.com/office/drawing/2014/chart" uri="{C3380CC4-5D6E-409C-BE32-E72D297353CC}">
                <c16:uniqueId val="{0000000D-C35F-4261-A333-CF88ADFA3492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F-C35F-4261-A333-CF88ADFA3492}"/>
              </c:ext>
            </c:extLst>
          </c:dPt>
          <c:dPt>
            <c:idx val="8"/>
            <c:invertIfNegative val="0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11-C35F-4261-A333-CF88ADFA3492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C35F-4261-A333-CF88ADFA34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C4C6-4881-92BF-C29C92AB5AD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BE5A-44A1-BF8B-86EDCB62FA8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2011-2026'!$K$198:$K$209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 2011-2026'!$N$198:$N$209</c:f>
              <c:numCache>
                <c:formatCode>#,##0</c:formatCode>
                <c:ptCount val="12"/>
                <c:pt idx="0">
                  <c:v>5863.14</c:v>
                </c:pt>
                <c:pt idx="1">
                  <c:v>23056.05</c:v>
                </c:pt>
                <c:pt idx="2">
                  <c:v>2180</c:v>
                </c:pt>
                <c:pt idx="3">
                  <c:v>10000</c:v>
                </c:pt>
                <c:pt idx="4">
                  <c:v>0</c:v>
                </c:pt>
                <c:pt idx="5">
                  <c:v>880</c:v>
                </c:pt>
                <c:pt idx="6">
                  <c:v>16251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35F-4261-A333-CF88ADFA34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3044384"/>
        <c:axId val="323048192"/>
        <c:axId val="0"/>
      </c:bar3DChart>
      <c:catAx>
        <c:axId val="323044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3048192"/>
        <c:crosses val="autoZero"/>
        <c:auto val="1"/>
        <c:lblAlgn val="ctr"/>
        <c:lblOffset val="100"/>
        <c:noMultiLvlLbl val="0"/>
      </c:catAx>
      <c:valAx>
        <c:axId val="32304819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23044384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accent1">
          <a:alpha val="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sz="1800" b="1" i="0" baseline="0">
                <a:effectLst/>
              </a:rPr>
              <a:t>EVOLUCIÓN OC MENSUAL PETROQUÍMICA 2026</a:t>
            </a:r>
            <a:endParaRPr lang="es-PE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aseline="0"/>
              <a:t> </a:t>
            </a:r>
            <a:endParaRPr lang="es-PE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0B0-4053-9185-A5202CBF7A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0B0-4053-9185-A5202CBF7A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0B0-4053-9185-A5202CBF7A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30B0-4053-9185-A5202CBF7A0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30B0-4053-9185-A5202CBF7A0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30B0-4053-9185-A5202CBF7A09}"/>
              </c:ext>
            </c:extLst>
          </c:dPt>
          <c:dPt>
            <c:idx val="6"/>
            <c:invertIfNegative val="0"/>
            <c:bubble3D val="0"/>
            <c:spPr>
              <a:solidFill>
                <a:srgbClr val="00FFCC"/>
              </a:solidFill>
            </c:spPr>
            <c:extLst>
              <c:ext xmlns:c16="http://schemas.microsoft.com/office/drawing/2014/chart" uri="{C3380CC4-5D6E-409C-BE32-E72D297353CC}">
                <c16:uniqueId val="{0000000D-30B0-4053-9185-A5202CBF7A09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F-30B0-4053-9185-A5202CBF7A09}"/>
              </c:ext>
            </c:extLst>
          </c:dPt>
          <c:dPt>
            <c:idx val="8"/>
            <c:invertIfNegative val="0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11-30B0-4053-9185-A5202CBF7A0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30B0-4053-9185-A5202CBF7A0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2011-2026'!$K$198:$K$209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 2011-2026'!$O$198:$O$209</c:f>
              <c:numCache>
                <c:formatCode>#,##0</c:formatCode>
                <c:ptCount val="12"/>
                <c:pt idx="0">
                  <c:v>32050</c:v>
                </c:pt>
                <c:pt idx="1">
                  <c:v>5600</c:v>
                </c:pt>
                <c:pt idx="2">
                  <c:v>169640</c:v>
                </c:pt>
                <c:pt idx="3">
                  <c:v>0</c:v>
                </c:pt>
                <c:pt idx="4">
                  <c:v>1420</c:v>
                </c:pt>
                <c:pt idx="5">
                  <c:v>21848.799999999999</c:v>
                </c:pt>
                <c:pt idx="6">
                  <c:v>3080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0B0-4053-9185-A5202CBF7A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3049280"/>
        <c:axId val="323040576"/>
        <c:axId val="0"/>
      </c:bar3DChart>
      <c:catAx>
        <c:axId val="323049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3040576"/>
        <c:crosses val="autoZero"/>
        <c:auto val="1"/>
        <c:lblAlgn val="ctr"/>
        <c:lblOffset val="100"/>
        <c:noMultiLvlLbl val="0"/>
      </c:catAx>
      <c:valAx>
        <c:axId val="32304057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23049280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accent1">
          <a:alpha val="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sz="1800" b="1" i="0" baseline="0">
                <a:effectLst/>
              </a:rPr>
              <a:t>EVOLUCIÓN OC MENSUAL SAFETY 2026</a:t>
            </a:r>
            <a:endParaRPr lang="es-PE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PE" baseline="0"/>
              <a:t> </a:t>
            </a:r>
            <a:endParaRPr lang="es-PE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0B0-4053-9185-A5202CBF7A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0B0-4053-9185-A5202CBF7A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0B0-4053-9185-A5202CBF7A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30B0-4053-9185-A5202CBF7A0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30B0-4053-9185-A5202CBF7A0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30B0-4053-9185-A5202CBF7A09}"/>
              </c:ext>
            </c:extLst>
          </c:dPt>
          <c:dPt>
            <c:idx val="6"/>
            <c:invertIfNegative val="0"/>
            <c:bubble3D val="0"/>
            <c:spPr>
              <a:solidFill>
                <a:srgbClr val="00FFCC"/>
              </a:solidFill>
            </c:spPr>
            <c:extLst>
              <c:ext xmlns:c16="http://schemas.microsoft.com/office/drawing/2014/chart" uri="{C3380CC4-5D6E-409C-BE32-E72D297353CC}">
                <c16:uniqueId val="{0000000D-30B0-4053-9185-A5202CBF7A09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F-30B0-4053-9185-A5202CBF7A09}"/>
              </c:ext>
            </c:extLst>
          </c:dPt>
          <c:dPt>
            <c:idx val="8"/>
            <c:invertIfNegative val="0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11-30B0-4053-9185-A5202CBF7A09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30B0-4053-9185-A5202CBF7A0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 2011-2026'!$K$198:$K$209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 2011-2026'!$P$198:$P$209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0B0-4053-9185-A5202CBF7A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3040032"/>
        <c:axId val="323046560"/>
        <c:axId val="0"/>
      </c:bar3DChart>
      <c:catAx>
        <c:axId val="323040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3046560"/>
        <c:crosses val="autoZero"/>
        <c:auto val="1"/>
        <c:lblAlgn val="ctr"/>
        <c:lblOffset val="100"/>
        <c:noMultiLvlLbl val="0"/>
      </c:catAx>
      <c:valAx>
        <c:axId val="32304656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23040032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accent1">
          <a:alpha val="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Evolución OC, Objetivos Minimos y HH+Utilidad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 2011-2026'!$F$2</c:f>
              <c:strCache>
                <c:ptCount val="1"/>
                <c:pt idx="0">
                  <c:v>Montos OC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2011-2026'!$E$5:$E$17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' 2011-2026'!$F$5:$F$17</c:f>
              <c:numCache>
                <c:formatCode>#,##0.00</c:formatCode>
                <c:ptCount val="13"/>
                <c:pt idx="0">
                  <c:v>1469563.62</c:v>
                </c:pt>
                <c:pt idx="1">
                  <c:v>1886500.0299999996</c:v>
                </c:pt>
                <c:pt idx="2">
                  <c:v>1143432.8700000001</c:v>
                </c:pt>
                <c:pt idx="3">
                  <c:v>1755581.87</c:v>
                </c:pt>
                <c:pt idx="4">
                  <c:v>2040281.02</c:v>
                </c:pt>
                <c:pt idx="5">
                  <c:v>2650233.06</c:v>
                </c:pt>
                <c:pt idx="6">
                  <c:v>1732121.3199999998</c:v>
                </c:pt>
                <c:pt idx="7">
                  <c:v>1434996.8800000004</c:v>
                </c:pt>
                <c:pt idx="8">
                  <c:v>1968764.0399999998</c:v>
                </c:pt>
                <c:pt idx="9">
                  <c:v>1676545.3567999997</c:v>
                </c:pt>
                <c:pt idx="10">
                  <c:v>1697269.3701333329</c:v>
                </c:pt>
                <c:pt idx="11">
                  <c:v>1683041.98</c:v>
                </c:pt>
                <c:pt idx="12">
                  <c:v>1435960.1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E7-49F0-85FB-D2D809804621}"/>
            </c:ext>
          </c:extLst>
        </c:ser>
        <c:ser>
          <c:idx val="2"/>
          <c:order val="2"/>
          <c:tx>
            <c:strRef>
              <c:f>' 2011-2026'!$G$2</c:f>
              <c:strCache>
                <c:ptCount val="1"/>
                <c:pt idx="0">
                  <c:v>HH+Utilidad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5700315877013082E-2"/>
                  <c:y val="2.58841263455158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E7-49F0-85FB-D2D809804621}"/>
                </c:ext>
              </c:extLst>
            </c:dLbl>
            <c:dLbl>
              <c:idx val="8"/>
              <c:layout>
                <c:manualLayout>
                  <c:x val="-3.0030379578047158E-2"/>
                  <c:y val="2.92299303155628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E1-4CD2-95E6-2E851EA2018A}"/>
                </c:ext>
              </c:extLst>
            </c:dLbl>
            <c:dLbl>
              <c:idx val="9"/>
              <c:layout>
                <c:manualLayout>
                  <c:x val="-1.4696503138929196E-2"/>
                  <c:y val="1.30418976953837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E6-4414-A62E-22AEBBE2A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2011-2026'!$E$5:$E$17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' 2011-2026'!$G$5:$G$17</c:f>
              <c:numCache>
                <c:formatCode>#,##0.00</c:formatCode>
                <c:ptCount val="13"/>
                <c:pt idx="0">
                  <c:v>766989.81530000002</c:v>
                </c:pt>
                <c:pt idx="1">
                  <c:v>732610.42991158995</c:v>
                </c:pt>
                <c:pt idx="2">
                  <c:v>546600.85</c:v>
                </c:pt>
                <c:pt idx="3">
                  <c:v>586456.22</c:v>
                </c:pt>
                <c:pt idx="4">
                  <c:v>815521.11</c:v>
                </c:pt>
                <c:pt idx="5">
                  <c:v>706732.22</c:v>
                </c:pt>
                <c:pt idx="6">
                  <c:v>820464.8899999999</c:v>
                </c:pt>
                <c:pt idx="7">
                  <c:v>475934.45</c:v>
                </c:pt>
                <c:pt idx="8">
                  <c:v>764082.81000000017</c:v>
                </c:pt>
                <c:pt idx="9">
                  <c:v>832552.58679999993</c:v>
                </c:pt>
                <c:pt idx="10">
                  <c:v>865726.07680000016</c:v>
                </c:pt>
                <c:pt idx="11">
                  <c:v>787520.06</c:v>
                </c:pt>
                <c:pt idx="12">
                  <c:v>647191.24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E7-49F0-85FB-D2D809804621}"/>
            </c:ext>
          </c:extLst>
        </c:ser>
        <c:ser>
          <c:idx val="3"/>
          <c:order val="3"/>
          <c:tx>
            <c:strRef>
              <c:f>' 2011-2026'!$H$2</c:f>
              <c:strCache>
                <c:ptCount val="1"/>
                <c:pt idx="0">
                  <c:v>Objetivo 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6.1461252035877163E-2"/>
                  <c:y val="-2.5884126345515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E7-49F0-85FB-D2D809804621}"/>
                </c:ext>
              </c:extLst>
            </c:dLbl>
            <c:dLbl>
              <c:idx val="2"/>
              <c:layout>
                <c:manualLayout>
                  <c:x val="-6.1461252035877163E-2"/>
                  <c:y val="-1.811888844186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E7-49F0-85FB-D2D809804621}"/>
                </c:ext>
              </c:extLst>
            </c:dLbl>
            <c:dLbl>
              <c:idx val="3"/>
              <c:layout>
                <c:manualLayout>
                  <c:x val="-7.417844355928481E-2"/>
                  <c:y val="1.55304758073095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E7-49F0-85FB-D2D809804621}"/>
                </c:ext>
              </c:extLst>
            </c:dLbl>
            <c:dLbl>
              <c:idx val="4"/>
              <c:layout>
                <c:manualLayout>
                  <c:x val="-7.7150961908673543E-2"/>
                  <c:y val="-2.32957137109644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AE7-49F0-85FB-D2D809804621}"/>
                </c:ext>
              </c:extLst>
            </c:dLbl>
            <c:dLbl>
              <c:idx val="5"/>
              <c:layout>
                <c:manualLayout>
                  <c:x val="-3.450481142090598E-2"/>
                  <c:y val="-2.0707301076412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E7-49F0-85FB-D2D809804621}"/>
                </c:ext>
              </c:extLst>
            </c:dLbl>
            <c:dLbl>
              <c:idx val="6"/>
              <c:layout>
                <c:manualLayout>
                  <c:x val="-2.7767316068489038E-2"/>
                  <c:y val="-2.95396472196984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693-444B-AD22-46441B1E3813}"/>
                </c:ext>
              </c:extLst>
            </c:dLbl>
            <c:dLbl>
              <c:idx val="7"/>
              <c:layout>
                <c:manualLayout>
                  <c:x val="-1.8683039715153289E-2"/>
                  <c:y val="-2.34967318266193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80-4DE8-BCF7-4F5093937101}"/>
                </c:ext>
              </c:extLst>
            </c:dLbl>
            <c:dLbl>
              <c:idx val="8"/>
              <c:layout>
                <c:manualLayout>
                  <c:x val="-3.5278687928422439E-2"/>
                  <c:y val="-2.69814955667817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E1-4CD2-95E6-2E851EA2018A}"/>
                </c:ext>
              </c:extLst>
            </c:dLbl>
            <c:dLbl>
              <c:idx val="9"/>
              <c:layout>
                <c:manualLayout>
                  <c:x val="-2.1694247606096412E-2"/>
                  <c:y val="-2.8257445006664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E6-4414-A62E-22AEBBE2A8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 2011-2026'!$E$5:$E$17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' 2011-2026'!$H$5:$H$17</c:f>
              <c:numCache>
                <c:formatCode>#,##0.00</c:formatCode>
                <c:ptCount val="13"/>
                <c:pt idx="0">
                  <c:v>599213.68999999994</c:v>
                </c:pt>
                <c:pt idx="1">
                  <c:v>791852.48</c:v>
                </c:pt>
                <c:pt idx="2">
                  <c:v>791852.48</c:v>
                </c:pt>
                <c:pt idx="3">
                  <c:v>786394.2</c:v>
                </c:pt>
                <c:pt idx="4">
                  <c:v>1015424.4099999999</c:v>
                </c:pt>
                <c:pt idx="5">
                  <c:v>1016302.22</c:v>
                </c:pt>
                <c:pt idx="6">
                  <c:v>869409.41</c:v>
                </c:pt>
                <c:pt idx="7">
                  <c:v>864817.23</c:v>
                </c:pt>
                <c:pt idx="8">
                  <c:v>726996.85</c:v>
                </c:pt>
                <c:pt idx="9">
                  <c:v>872396.23</c:v>
                </c:pt>
                <c:pt idx="10">
                  <c:v>1046875.4759999999</c:v>
                </c:pt>
                <c:pt idx="11">
                  <c:v>1046875.4759999999</c:v>
                </c:pt>
                <c:pt idx="12">
                  <c:v>1165000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E7-49F0-85FB-D2D8098046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27001167"/>
        <c:axId val="6270198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2011-2026'!$E$2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E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 2011-2026'!$E$5:$E$17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  <c:pt idx="10">
                        <c:v>2024</c:v>
                      </c:pt>
                      <c:pt idx="11">
                        <c:v>2025</c:v>
                      </c:pt>
                      <c:pt idx="12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 2011-2026'!$E$3:$E$10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2012</c:v>
                      </c:pt>
                      <c:pt idx="1">
                        <c:v>2013</c:v>
                      </c:pt>
                      <c:pt idx="2">
                        <c:v>2014</c:v>
                      </c:pt>
                      <c:pt idx="3">
                        <c:v>2015</c:v>
                      </c:pt>
                      <c:pt idx="4">
                        <c:v>2016</c:v>
                      </c:pt>
                      <c:pt idx="5">
                        <c:v>2017</c:v>
                      </c:pt>
                      <c:pt idx="6">
                        <c:v>2018</c:v>
                      </c:pt>
                      <c:pt idx="7">
                        <c:v>2019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AE7-49F0-85FB-D2D809804621}"/>
                  </c:ext>
                </c:extLst>
              </c15:ser>
            </c15:filteredLineSeries>
          </c:ext>
        </c:extLst>
      </c:lineChart>
      <c:catAx>
        <c:axId val="62700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019887"/>
        <c:crosses val="autoZero"/>
        <c:auto val="1"/>
        <c:lblAlgn val="ctr"/>
        <c:lblOffset val="100"/>
        <c:noMultiLvlLbl val="0"/>
      </c:catAx>
      <c:valAx>
        <c:axId val="62701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00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s-PE" sz="1200"/>
              <a:t>Avance objetivo Máximo al Mes en curso</a:t>
            </a:r>
          </a:p>
        </c:rich>
      </c:tx>
      <c:layout>
        <c:manualLayout>
          <c:xMode val="edge"/>
          <c:yMode val="edge"/>
          <c:x val="0.20071193331018652"/>
          <c:y val="2.9993697612245258E-2"/>
        </c:manualLayout>
      </c:layout>
      <c:overlay val="0"/>
    </c:title>
    <c:autoTitleDeleted val="0"/>
    <c:view3D>
      <c:rotX val="10"/>
      <c:rotY val="40"/>
      <c:depthPercent val="1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7810339090920179E-2"/>
          <c:y val="5.2369292071519108E-2"/>
          <c:w val="0.97448106495728914"/>
          <c:h val="0.83959141093862388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Objetivos!$B$19</c:f>
              <c:strCache>
                <c:ptCount val="1"/>
                <c:pt idx="0">
                  <c:v>Avance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01-9472-49C0-814D-98027C7BEAD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9472-49C0-814D-98027C7BEAD4}"/>
              </c:ext>
            </c:extLst>
          </c:dPt>
          <c:dPt>
            <c:idx val="2"/>
            <c:invertIfNegative val="0"/>
            <c:bubble3D val="0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5-9472-49C0-814D-98027C7BEAD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9472-49C0-814D-98027C7BEAD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2-49C0-814D-98027C7BEAD4}"/>
              </c:ext>
            </c:extLst>
          </c:dPt>
          <c:dLbls>
            <c:dLbl>
              <c:idx val="0"/>
              <c:layout>
                <c:manualLayout>
                  <c:x val="1.67926112510495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72-49C0-814D-98027C7BEAD4}"/>
                </c:ext>
              </c:extLst>
            </c:dLbl>
            <c:dLbl>
              <c:idx val="1"/>
              <c:layout>
                <c:manualLayout>
                  <c:x val="1.51133501259445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72-49C0-814D-98027C7BEAD4}"/>
                </c:ext>
              </c:extLst>
            </c:dLbl>
            <c:dLbl>
              <c:idx val="2"/>
              <c:layout>
                <c:manualLayout>
                  <c:x val="1.67926112510495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72-49C0-814D-98027C7BEAD4}"/>
                </c:ext>
              </c:extLst>
            </c:dLbl>
            <c:dLbl>
              <c:idx val="3"/>
              <c:layout>
                <c:manualLayout>
                  <c:x val="1.51133501259445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72-49C0-814D-98027C7BEAD4}"/>
                </c:ext>
              </c:extLst>
            </c:dLbl>
            <c:dLbl>
              <c:idx val="4"/>
              <c:layout>
                <c:manualLayout>
                  <c:x val="1.007556675062972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472-49C0-814D-98027C7BEA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Objetivos!$A$20:$A$24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Objetivos!$B$20:$B$24</c:f>
              <c:numCache>
                <c:formatCode>0%</c:formatCode>
                <c:ptCount val="5"/>
                <c:pt idx="0">
                  <c:v>1.0461797759999998</c:v>
                </c:pt>
                <c:pt idx="1">
                  <c:v>0.16068075000000001</c:v>
                </c:pt>
                <c:pt idx="2">
                  <c:v>1.1962934999999999</c:v>
                </c:pt>
                <c:pt idx="3">
                  <c:v>0</c:v>
                </c:pt>
                <c:pt idx="4">
                  <c:v>0.80563224896265551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72-49C0-814D-98027C7BEAD4}"/>
            </c:ext>
          </c:extLst>
        </c:ser>
        <c:ser>
          <c:idx val="1"/>
          <c:order val="1"/>
          <c:tx>
            <c:strRef>
              <c:f>Objetivos!$C$19</c:f>
              <c:strCache>
                <c:ptCount val="1"/>
                <c:pt idx="0">
                  <c:v>Faltante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C-9472-49C0-814D-98027C7BEAD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2-49C0-814D-98027C7BEAD4}"/>
              </c:ext>
            </c:extLst>
          </c:dPt>
          <c:dPt>
            <c:idx val="2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10-9472-49C0-814D-98027C7BEAD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9472-49C0-814D-98027C7BEAD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4-9472-49C0-814D-98027C7BEAD4}"/>
              </c:ext>
            </c:extLst>
          </c:dPt>
          <c:dLbls>
            <c:dLbl>
              <c:idx val="0"/>
              <c:layout>
                <c:manualLayout>
                  <c:x val="1.67926112510495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472-49C0-814D-98027C7BEAD4}"/>
                </c:ext>
              </c:extLst>
            </c:dLbl>
            <c:dLbl>
              <c:idx val="1"/>
              <c:layout>
                <c:manualLayout>
                  <c:x val="1.7707560209574421E-2"/>
                  <c:y val="-1.94732658417697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472-49C0-814D-98027C7BEAD4}"/>
                </c:ext>
              </c:extLst>
            </c:dLbl>
            <c:dLbl>
              <c:idx val="2"/>
              <c:layout>
                <c:manualLayout>
                  <c:x val="1.8471872376154493E-2"/>
                  <c:y val="-3.38409475465319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472-49C0-814D-98027C7BEAD4}"/>
                </c:ext>
              </c:extLst>
            </c:dLbl>
            <c:dLbl>
              <c:idx val="3"/>
              <c:layout>
                <c:manualLayout>
                  <c:x val="1.847187237615449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472-49C0-814D-98027C7BEAD4}"/>
                </c:ext>
              </c:extLst>
            </c:dLbl>
            <c:dLbl>
              <c:idx val="4"/>
              <c:layout>
                <c:manualLayout>
                  <c:x val="2.51889168765743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472-49C0-814D-98027C7BEAD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Objetivos!$A$20:$A$24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Objetivos!$C$20:$C$24</c:f>
              <c:numCache>
                <c:formatCode>0%</c:formatCode>
                <c:ptCount val="5"/>
                <c:pt idx="0">
                  <c:v>0</c:v>
                </c:pt>
                <c:pt idx="1">
                  <c:v>0.83931924999999996</c:v>
                </c:pt>
                <c:pt idx="2">
                  <c:v>0</c:v>
                </c:pt>
                <c:pt idx="3">
                  <c:v>1</c:v>
                </c:pt>
                <c:pt idx="4">
                  <c:v>0.19436775103734449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472-49C0-814D-98027C7BEAD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cylinder"/>
        <c:axId val="327201680"/>
        <c:axId val="327194064"/>
        <c:axId val="0"/>
      </c:bar3DChart>
      <c:catAx>
        <c:axId val="327201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7194064"/>
        <c:crosses val="autoZero"/>
        <c:auto val="1"/>
        <c:lblAlgn val="ctr"/>
        <c:lblOffset val="100"/>
        <c:noMultiLvlLbl val="0"/>
      </c:catAx>
      <c:valAx>
        <c:axId val="32719406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27201680"/>
        <c:crosses val="autoZero"/>
        <c:crossBetween val="between"/>
      </c:valAx>
    </c:plotArea>
    <c:plotVisOnly val="1"/>
    <c:dispBlanksAs val="zero"/>
    <c:showDLblsOverMax val="0"/>
  </c:chart>
  <c:spPr>
    <a:scene3d>
      <a:camera prst="orthographicFront"/>
      <a:lightRig rig="threePt" dir="t"/>
    </a:scene3d>
    <a:sp3d>
      <a:bevelT w="0" h="0"/>
    </a:sp3d>
  </c:sp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s-PE" sz="1200"/>
              <a:t>Avance objetivo Mínimo</a:t>
            </a:r>
            <a:r>
              <a:rPr lang="es-PE" sz="1200" baseline="0"/>
              <a:t> </a:t>
            </a:r>
            <a:r>
              <a:rPr lang="es-PE" sz="1200" b="1" i="0" u="none" strike="noStrike" baseline="0">
                <a:effectLst/>
              </a:rPr>
              <a:t>al Mes en curso</a:t>
            </a:r>
            <a:endParaRPr lang="es-PE" sz="1200"/>
          </a:p>
        </c:rich>
      </c:tx>
      <c:layout>
        <c:manualLayout>
          <c:xMode val="edge"/>
          <c:yMode val="edge"/>
          <c:x val="0.18877106492890022"/>
          <c:y val="1.2618292350930276E-2"/>
        </c:manualLayout>
      </c:layout>
      <c:overlay val="0"/>
    </c:title>
    <c:autoTitleDeleted val="0"/>
    <c:view3D>
      <c:rotX val="10"/>
      <c:rotY val="40"/>
      <c:depthPercent val="13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2210500723397083E-2"/>
          <c:y val="0.10857725938638667"/>
          <c:w val="0.9714569903749356"/>
          <c:h val="0.8070835317706081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Objetivos!$D$19</c:f>
              <c:strCache>
                <c:ptCount val="1"/>
                <c:pt idx="0">
                  <c:v>Avance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89"/>
              </a:solidFill>
            </c:spPr>
            <c:extLst>
              <c:ext xmlns:c16="http://schemas.microsoft.com/office/drawing/2014/chart" uri="{C3380CC4-5D6E-409C-BE32-E72D297353CC}">
                <c16:uniqueId val="{00000001-4D85-48AC-957C-ADD9600E76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D85-48AC-957C-ADD9600E76B2}"/>
              </c:ext>
            </c:extLst>
          </c:dPt>
          <c:dPt>
            <c:idx val="2"/>
            <c:invertIfNegative val="0"/>
            <c:bubble3D val="0"/>
            <c:spPr>
              <a:solidFill>
                <a:srgbClr val="00DFDA"/>
              </a:solidFill>
            </c:spPr>
            <c:extLst>
              <c:ext xmlns:c16="http://schemas.microsoft.com/office/drawing/2014/chart" uri="{C3380CC4-5D6E-409C-BE32-E72D297353CC}">
                <c16:uniqueId val="{00000005-4D85-48AC-957C-ADD9600E76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4D85-48AC-957C-ADD9600E76B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4D85-48AC-957C-ADD9600E76B2}"/>
              </c:ext>
            </c:extLst>
          </c:dPt>
          <c:dLbls>
            <c:dLbl>
              <c:idx val="0"/>
              <c:layout>
                <c:manualLayout>
                  <c:x val="1.67926112510495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85-48AC-957C-ADD9600E76B2}"/>
                </c:ext>
              </c:extLst>
            </c:dLbl>
            <c:dLbl>
              <c:idx val="1"/>
              <c:layout>
                <c:manualLayout>
                  <c:x val="3.009469353358085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85-48AC-957C-ADD9600E76B2}"/>
                </c:ext>
              </c:extLst>
            </c:dLbl>
            <c:dLbl>
              <c:idx val="2"/>
              <c:layout>
                <c:manualLayout>
                  <c:x val="1.67926112510495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85-48AC-957C-ADD9600E76B2}"/>
                </c:ext>
              </c:extLst>
            </c:dLbl>
            <c:dLbl>
              <c:idx val="3"/>
              <c:layout>
                <c:manualLayout>
                  <c:x val="1.51133501259445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85-48AC-957C-ADD9600E76B2}"/>
                </c:ext>
              </c:extLst>
            </c:dLbl>
            <c:dLbl>
              <c:idx val="4"/>
              <c:layout>
                <c:manualLayout>
                  <c:x val="3.1049485198134014E-2"/>
                  <c:y val="-4.30025825251725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85-48AC-957C-ADD9600E76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Objetivos!$A$20:$A$24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Objetivos!$D$20:$D$24</c:f>
              <c:numCache>
                <c:formatCode>0%</c:formatCode>
                <c:ptCount val="5"/>
                <c:pt idx="0">
                  <c:v>1.0631908292682928</c:v>
                </c:pt>
                <c:pt idx="1">
                  <c:v>0.16710798000000002</c:v>
                </c:pt>
                <c:pt idx="2">
                  <c:v>1.2506704772727273</c:v>
                </c:pt>
                <c:pt idx="3">
                  <c:v>0</c:v>
                </c:pt>
                <c:pt idx="4">
                  <c:v>0.83329344206008582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85-48AC-957C-ADD9600E76B2}"/>
            </c:ext>
          </c:extLst>
        </c:ser>
        <c:ser>
          <c:idx val="1"/>
          <c:order val="1"/>
          <c:tx>
            <c:strRef>
              <c:f>Objetivos!$E$19</c:f>
              <c:strCache>
                <c:ptCount val="1"/>
                <c:pt idx="0">
                  <c:v>Faltante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C-4D85-48AC-957C-ADD9600E76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4D85-48AC-957C-ADD9600E76B2}"/>
              </c:ext>
            </c:extLst>
          </c:dPt>
          <c:dPt>
            <c:idx val="2"/>
            <c:invertIfNegative val="0"/>
            <c:bubble3D val="0"/>
            <c:spPr>
              <a:solidFill>
                <a:srgbClr val="008080"/>
              </a:solidFill>
            </c:spPr>
            <c:extLst>
              <c:ext xmlns:c16="http://schemas.microsoft.com/office/drawing/2014/chart" uri="{C3380CC4-5D6E-409C-BE32-E72D297353CC}">
                <c16:uniqueId val="{00000010-4D85-48AC-957C-ADD9600E76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4D85-48AC-957C-ADD9600E76B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4-4D85-48AC-957C-ADD9600E76B2}"/>
              </c:ext>
            </c:extLst>
          </c:dPt>
          <c:dLbls>
            <c:dLbl>
              <c:idx val="0"/>
              <c:layout>
                <c:manualLayout>
                  <c:x val="1.67926112510495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85-48AC-957C-ADD9600E76B2}"/>
                </c:ext>
              </c:extLst>
            </c:dLbl>
            <c:dLbl>
              <c:idx val="1"/>
              <c:layout>
                <c:manualLayout>
                  <c:x val="1.343408900083963E-2"/>
                  <c:y val="3.38409475465313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85-48AC-957C-ADD9600E76B2}"/>
                </c:ext>
              </c:extLst>
            </c:dLbl>
            <c:dLbl>
              <c:idx val="2"/>
              <c:layout>
                <c:manualLayout>
                  <c:x val="2.7460346183345953E-2"/>
                  <c:y val="-3.383998502020274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85-48AC-957C-ADD9600E76B2}"/>
                </c:ext>
              </c:extLst>
            </c:dLbl>
            <c:dLbl>
              <c:idx val="3"/>
              <c:layout>
                <c:manualLayout>
                  <c:x val="2.74605821091340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85-48AC-957C-ADD9600E76B2}"/>
                </c:ext>
              </c:extLst>
            </c:dLbl>
            <c:dLbl>
              <c:idx val="4"/>
              <c:layout>
                <c:manualLayout>
                  <c:x val="2.51889168765743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85-48AC-957C-ADD9600E76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Objetivos!$A$20:$A$24</c:f>
              <c:strCache>
                <c:ptCount val="5"/>
                <c:pt idx="0">
                  <c:v>MIN</c:v>
                </c:pt>
                <c:pt idx="1">
                  <c:v>IND</c:v>
                </c:pt>
                <c:pt idx="2">
                  <c:v>OIL</c:v>
                </c:pt>
                <c:pt idx="3">
                  <c:v>SFY</c:v>
                </c:pt>
                <c:pt idx="4">
                  <c:v>V&amp;C</c:v>
                </c:pt>
              </c:strCache>
            </c:strRef>
          </c:cat>
          <c:val>
            <c:numRef>
              <c:f>Objetivos!$E$20:$E$24</c:f>
              <c:numCache>
                <c:formatCode>0%</c:formatCode>
                <c:ptCount val="5"/>
                <c:pt idx="0">
                  <c:v>0</c:v>
                </c:pt>
                <c:pt idx="1">
                  <c:v>0.83289201999999996</c:v>
                </c:pt>
                <c:pt idx="2">
                  <c:v>0</c:v>
                </c:pt>
                <c:pt idx="3">
                  <c:v>1</c:v>
                </c:pt>
                <c:pt idx="4">
                  <c:v>0.16670655793991418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D85-48AC-957C-ADD9600E76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gapDepth val="95"/>
        <c:shape val="cylinder"/>
        <c:axId val="327200048"/>
        <c:axId val="327203312"/>
        <c:axId val="0"/>
      </c:bar3DChart>
      <c:catAx>
        <c:axId val="327200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7203312"/>
        <c:crosses val="autoZero"/>
        <c:auto val="1"/>
        <c:lblAlgn val="ctr"/>
        <c:lblOffset val="100"/>
        <c:noMultiLvlLbl val="0"/>
      </c:catAx>
      <c:valAx>
        <c:axId val="32720331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27200048"/>
        <c:crosses val="autoZero"/>
        <c:crossBetween val="between"/>
      </c:valAx>
    </c:plotArea>
    <c:plotVisOnly val="1"/>
    <c:dispBlanksAs val="zero"/>
    <c:showDLblsOverMax val="0"/>
  </c:chart>
  <c:spPr>
    <a:scene3d>
      <a:camera prst="orthographicFront"/>
      <a:lightRig rig="threePt" dir="t"/>
    </a:scene3d>
    <a:sp3d>
      <a:bevelT w="0" h="0"/>
    </a:sp3d>
  </c:sp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Monto Logrado por Año HH+UTILIDAD</a:t>
            </a:r>
          </a:p>
        </c:rich>
      </c:tx>
      <c:layout>
        <c:manualLayout>
          <c:xMode val="edge"/>
          <c:yMode val="edge"/>
          <c:x val="0.21075445975907356"/>
          <c:y val="2.1367385771998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562166285278416E-2"/>
          <c:y val="0.15721474145710521"/>
          <c:w val="0.94508009153318062"/>
          <c:h val="0.71631579291184933"/>
        </c:manualLayout>
      </c:layout>
      <c:bar3DChart>
        <c:barDir val="col"/>
        <c:grouping val="stacked"/>
        <c:varyColors val="0"/>
        <c:ser>
          <c:idx val="1"/>
          <c:order val="0"/>
          <c:tx>
            <c:strRef>
              <c:f>Objetivos!$N$1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244-4323-AB57-A6AB749BDCB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E244-4323-AB57-A6AB749BDCBF}"/>
              </c:ext>
            </c:extLst>
          </c:dPt>
          <c:dPt>
            <c:idx val="2"/>
            <c:invertIfNegative val="0"/>
            <c:bubble3D val="0"/>
            <c:spPr>
              <a:solidFill>
                <a:srgbClr val="00DFDA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E-E244-4323-AB57-A6AB749BDCB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E244-4323-AB57-A6AB749BDCB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2-E244-4323-AB57-A6AB749BDCB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EFC-4073-A551-6FBEECDCEA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C-0E73-4917-BBC1-9A304AE70F1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6482-4600-B45B-D944C9ED0837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79A9-424B-ACFC-1A1876C97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2490-4B85-8D8C-642F833E9A5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EA93-4345-AC58-084771748DFC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FF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9FAF-46BD-A31B-B2C1D383ED08}"/>
              </c:ext>
            </c:extLst>
          </c:dPt>
          <c:dLbls>
            <c:dLbl>
              <c:idx val="4"/>
              <c:layout>
                <c:manualLayout>
                  <c:x val="2.506265664160400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244-4323-AB57-A6AB749BDCBF}"/>
                </c:ext>
              </c:extLst>
            </c:dLbl>
            <c:dLbl>
              <c:idx val="9"/>
              <c:layout>
                <c:manualLayout>
                  <c:x val="9.6600790755139877E-3"/>
                  <c:y val="-0.178909070418431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9A9-424B-ACFC-1A1876C97E92}"/>
                </c:ext>
              </c:extLst>
            </c:dLbl>
            <c:dLbl>
              <c:idx val="10"/>
              <c:layout>
                <c:manualLayout>
                  <c:x val="3.1498184132546493E-2"/>
                  <c:y val="-0.239999972512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2490-4B85-8D8C-642F833E9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2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Objetivos!$M$2:$M$14</c:f>
              <c:numCache>
                <c:formatCode>General</c:formatCode>
                <c:ptCount val="13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</c:numCache>
            </c:numRef>
          </c:cat>
          <c:val>
            <c:numRef>
              <c:f>Objetivos!$N$2:$N$14</c:f>
              <c:numCache>
                <c:formatCode>#,##0.00</c:formatCode>
                <c:ptCount val="13"/>
                <c:pt idx="0">
                  <c:v>599213.68999999994</c:v>
                </c:pt>
                <c:pt idx="1">
                  <c:v>791852.48</c:v>
                </c:pt>
                <c:pt idx="2">
                  <c:v>546600.85</c:v>
                </c:pt>
                <c:pt idx="3">
                  <c:v>586456.22</c:v>
                </c:pt>
                <c:pt idx="4">
                  <c:v>815521.11</c:v>
                </c:pt>
                <c:pt idx="5">
                  <c:v>706732.22</c:v>
                </c:pt>
                <c:pt idx="6">
                  <c:v>820464.8899999999</c:v>
                </c:pt>
                <c:pt idx="7">
                  <c:v>475934.45</c:v>
                </c:pt>
                <c:pt idx="8">
                  <c:v>764082.81000000017</c:v>
                </c:pt>
                <c:pt idx="9">
                  <c:v>832552.58679999993</c:v>
                </c:pt>
                <c:pt idx="10">
                  <c:v>865726.07680000016</c:v>
                </c:pt>
                <c:pt idx="11">
                  <c:v>787520.06</c:v>
                </c:pt>
                <c:pt idx="12">
                  <c:v>647191.24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4-4323-AB57-A6AB749BDC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327195696"/>
        <c:axId val="327197872"/>
        <c:axId val="0"/>
      </c:bar3DChart>
      <c:catAx>
        <c:axId val="3271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7197872"/>
        <c:crosses val="autoZero"/>
        <c:auto val="1"/>
        <c:lblAlgn val="ctr"/>
        <c:lblOffset val="100"/>
        <c:noMultiLvlLbl val="0"/>
      </c:catAx>
      <c:valAx>
        <c:axId val="32719787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32719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61084947198321"/>
          <c:y val="0.20763116684321575"/>
          <c:w val="0.50928518865951788"/>
          <c:h val="0.72602886757152318"/>
        </c:manualLayout>
      </c:layout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rgbClr val="FF0000"/>
                </a:gs>
                <a:gs pos="20000">
                  <a:srgbClr val="FF0000"/>
                </a:gs>
                <a:gs pos="70000">
                  <a:srgbClr val="FFFF00"/>
                </a:gs>
                <a:gs pos="50000">
                  <a:srgbClr val="FFFF00"/>
                </a:gs>
                <a:gs pos="97000">
                  <a:srgbClr val="92D050"/>
                </a:gs>
              </a:gsLst>
              <a:lin ang="0" scaled="0"/>
              <a:tileRect/>
            </a:gra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CDA-46C0-8F78-F5717CEF4EB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CDA-46C0-8F78-F5717CEF4EB7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0000"/>
                  </a:gs>
                  <a:gs pos="13000">
                    <a:srgbClr val="FF0000"/>
                  </a:gs>
                  <a:gs pos="80000">
                    <a:srgbClr val="FFFF00"/>
                  </a:gs>
                  <a:gs pos="62000">
                    <a:srgbClr val="FFFF00"/>
                  </a:gs>
                  <a:gs pos="98000">
                    <a:srgbClr val="FFFF00"/>
                  </a:gs>
                </a:gsLst>
                <a:lin ang="189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DA-46C0-8F78-F5717CEF4EB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CDA-46C0-8F78-F5717CEF4EB7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DA-46C0-8F78-F5717CEF4EB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CDA-46C0-8F78-F5717CEF4EB7}"/>
              </c:ext>
            </c:extLst>
          </c:dPt>
          <c:dPt>
            <c:idx val="6"/>
            <c:bubble3D val="0"/>
            <c:spPr>
              <a:gradFill flip="none" rotWithShape="1">
                <a:gsLst>
                  <a:gs pos="0">
                    <a:srgbClr val="FFFF00"/>
                  </a:gs>
                  <a:gs pos="39000">
                    <a:srgbClr val="FFFF00"/>
                  </a:gs>
                  <a:gs pos="84000">
                    <a:srgbClr val="92D050"/>
                  </a:gs>
                  <a:gs pos="63000">
                    <a:srgbClr val="92D050"/>
                  </a:gs>
                  <a:gs pos="97000">
                    <a:srgbClr val="92D05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DA-46C0-8F78-F5717CEF4EB7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CDA-46C0-8F78-F5717CEF4EB7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DA-46C0-8F78-F5717CEF4EB7}"/>
              </c:ext>
            </c:extLst>
          </c:dPt>
          <c:dPt>
            <c:idx val="9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DA-46C0-8F78-F5717CEF4EB7}"/>
              </c:ext>
            </c:extLst>
          </c:dPt>
          <c:dLbls>
            <c:dLbl>
              <c:idx val="0"/>
              <c:layout>
                <c:manualLayout>
                  <c:x val="-6.1111111111111109E-2"/>
                  <c:y val="-6.9444444444444448E-2"/>
                </c:manualLayout>
              </c:layout>
              <c:tx>
                <c:rich>
                  <a:bodyPr/>
                  <a:lstStyle/>
                  <a:p>
                    <a:fld id="{62A63BA9-DBF1-4574-9C2F-A3DBE703324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CDA-46C0-8F78-F5717CEF4EB7}"/>
                </c:ext>
              </c:extLst>
            </c:dLbl>
            <c:dLbl>
              <c:idx val="1"/>
              <c:layout>
                <c:manualLayout>
                  <c:x val="-4.7222112860892437E-2"/>
                  <c:y val="-8.33333333333333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198D83-10DC-4304-A3B8-BC61DB721526}" type="CELLRANGE">
                      <a:rPr lang="en-US" sz="1000" b="1">
                        <a:solidFill>
                          <a:schemeClr val="bg1"/>
                        </a:solidFill>
                      </a:rPr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09733158355205E-2"/>
                      <c:h val="6.01159230096237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CDA-46C0-8F78-F5717CEF4EB7}"/>
                </c:ext>
              </c:extLst>
            </c:dLbl>
            <c:dLbl>
              <c:idx val="2"/>
              <c:layout>
                <c:manualLayout>
                  <c:x val="-1.6666666666666666E-2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64D72FD1-9966-4BB5-8753-23571331E354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CDA-46C0-8F78-F5717CEF4EB7}"/>
                </c:ext>
              </c:extLst>
            </c:dLbl>
            <c:dLbl>
              <c:idx val="3"/>
              <c:layout>
                <c:manualLayout>
                  <c:x val="-8.3333333333333332E-3"/>
                  <c:y val="-9.7222222222222224E-2"/>
                </c:manualLayout>
              </c:layout>
              <c:tx>
                <c:rich>
                  <a:bodyPr/>
                  <a:lstStyle/>
                  <a:p>
                    <a:fld id="{B773D99D-E157-43C0-9EF0-CE381C7F45A3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CDA-46C0-8F78-F5717CEF4EB7}"/>
                </c:ext>
              </c:extLst>
            </c:dLbl>
            <c:dLbl>
              <c:idx val="4"/>
              <c:layout>
                <c:manualLayout>
                  <c:x val="8.3333333333333332E-3"/>
                  <c:y val="-0.10185185185185187"/>
                </c:manualLayout>
              </c:layout>
              <c:tx>
                <c:rich>
                  <a:bodyPr/>
                  <a:lstStyle/>
                  <a:p>
                    <a:fld id="{4CFC4DAE-B5FD-48E3-82B3-8F0331906858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CDA-46C0-8F78-F5717CEF4EB7}"/>
                </c:ext>
              </c:extLst>
            </c:dLbl>
            <c:dLbl>
              <c:idx val="5"/>
              <c:layout>
                <c:manualLayout>
                  <c:x val="2.2222222222222223E-2"/>
                  <c:y val="-0.10185185185185185"/>
                </c:manualLayout>
              </c:layout>
              <c:tx>
                <c:rich>
                  <a:bodyPr/>
                  <a:lstStyle/>
                  <a:p>
                    <a:fld id="{4D8E975C-D5E6-4E1D-86A9-2164408F198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CDA-46C0-8F78-F5717CEF4EB7}"/>
                </c:ext>
              </c:extLst>
            </c:dLbl>
            <c:dLbl>
              <c:idx val="6"/>
              <c:layout>
                <c:manualLayout>
                  <c:x val="3.0555555555555454E-2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7ADCAB02-1B9A-4CC5-B182-5597970F616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CDA-46C0-8F78-F5717CEF4EB7}"/>
                </c:ext>
              </c:extLst>
            </c:dLbl>
            <c:dLbl>
              <c:idx val="7"/>
              <c:layout>
                <c:manualLayout>
                  <c:x val="0.05"/>
                  <c:y val="-7.407407407407407E-2"/>
                </c:manualLayout>
              </c:layout>
              <c:tx>
                <c:rich>
                  <a:bodyPr/>
                  <a:lstStyle/>
                  <a:p>
                    <a:fld id="{3B583267-564B-496F-BA44-45101E266E8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CDA-46C0-8F78-F5717CEF4EB7}"/>
                </c:ext>
              </c:extLst>
            </c:dLbl>
            <c:dLbl>
              <c:idx val="8"/>
              <c:layout>
                <c:manualLayout>
                  <c:x val="5.833333333333323E-2"/>
                  <c:y val="-7.4074074074074153E-2"/>
                </c:manualLayout>
              </c:layout>
              <c:tx>
                <c:rich>
                  <a:bodyPr/>
                  <a:lstStyle/>
                  <a:p>
                    <a:fld id="{CF6C9BE7-BACA-4FC1-85EB-171F6ECB929B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CDA-46C0-8F78-F5717CEF4EB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DA-46C0-8F78-F5717CEF4E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Objetivos!$C$52:$C$61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Objetivos!$B$52:$B$61</c15:f>
                <c15:dlblRangeCache>
                  <c:ptCount val="1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CDA-46C0-8F78-F5717CEF4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catterChart>
        <c:scatterStyle val="smoothMarker"/>
        <c:varyColors val="0"/>
        <c:ser>
          <c:idx val="1"/>
          <c:order val="1"/>
          <c:tx>
            <c:strRef>
              <c:f>Objetivos!$B$65</c:f>
              <c:strCache>
                <c:ptCount val="1"/>
                <c:pt idx="0">
                  <c:v>Puntos </c:v>
                </c:pt>
              </c:strCache>
            </c:strRef>
          </c:tx>
          <c:spPr>
            <a:ln w="28575" cap="rnd">
              <a:solidFill>
                <a:srgbClr val="1D05D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1D05D1"/>
                </a:solidFill>
                <a:round/>
                <a:headEnd type="oval"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0C-1CDA-46C0-8F78-F5717CEF4EB7}"/>
              </c:ext>
            </c:extLst>
          </c:dPt>
          <c:xVal>
            <c:numRef>
              <c:f>Objetivos!$C$66:$C$67</c:f>
              <c:numCache>
                <c:formatCode>General</c:formatCode>
                <c:ptCount val="2"/>
                <c:pt idx="0">
                  <c:v>0</c:v>
                </c:pt>
                <c:pt idx="1">
                  <c:v>0.17356589825682942</c:v>
                </c:pt>
              </c:numCache>
            </c:numRef>
          </c:xVal>
          <c:yVal>
            <c:numRef>
              <c:f>Objetivos!$D$66:$D$67</c:f>
              <c:numCache>
                <c:formatCode>General</c:formatCode>
                <c:ptCount val="2"/>
                <c:pt idx="0">
                  <c:v>0</c:v>
                </c:pt>
                <c:pt idx="1">
                  <c:v>0.98482225754818309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CDA-46C0-8F78-F5717CEF4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62799"/>
        <c:axId val="381248655"/>
      </c:scatterChart>
      <c:valAx>
        <c:axId val="381248655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381262799"/>
        <c:crosses val="autoZero"/>
        <c:crossBetween val="midCat"/>
      </c:valAx>
      <c:valAx>
        <c:axId val="381262799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38124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286589898806001"/>
          <c:y val="0.1547980695961392"/>
          <c:w val="0.50252767537005849"/>
          <c:h val="0.84132859199051735"/>
        </c:manualLayout>
      </c:layout>
      <c:doughnutChart>
        <c:varyColors val="1"/>
        <c:ser>
          <c:idx val="0"/>
          <c:order val="0"/>
          <c:spPr>
            <a:gradFill flip="none" rotWithShape="1">
              <a:gsLst>
                <a:gs pos="0">
                  <a:srgbClr val="FF0000"/>
                </a:gs>
                <a:gs pos="20000">
                  <a:srgbClr val="FF0000"/>
                </a:gs>
                <a:gs pos="70000">
                  <a:srgbClr val="FFFF00"/>
                </a:gs>
                <a:gs pos="50000">
                  <a:srgbClr val="FFFF00"/>
                </a:gs>
                <a:gs pos="97000">
                  <a:srgbClr val="92D050"/>
                </a:gs>
              </a:gsLst>
              <a:lin ang="0" scaled="0"/>
              <a:tileRect/>
            </a:gra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44-4C5A-8DCA-12F4E6E2E8B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44-4C5A-8DCA-12F4E6E2E8B0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0000"/>
                  </a:gs>
                  <a:gs pos="13000">
                    <a:srgbClr val="FF0000"/>
                  </a:gs>
                  <a:gs pos="80000">
                    <a:srgbClr val="FFFF00"/>
                  </a:gs>
                  <a:gs pos="62000">
                    <a:srgbClr val="FFFF00"/>
                  </a:gs>
                  <a:gs pos="98000">
                    <a:srgbClr val="FFFF00"/>
                  </a:gs>
                </a:gsLst>
                <a:lin ang="189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44-4C5A-8DCA-12F4E6E2E8B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44-4C5A-8DCA-12F4E6E2E8B0}"/>
              </c:ext>
            </c:extLst>
          </c:dPt>
          <c:dPt>
            <c:idx val="4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44-4C5A-8DCA-12F4E6E2E8B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44-4C5A-8DCA-12F4E6E2E8B0}"/>
              </c:ext>
            </c:extLst>
          </c:dPt>
          <c:dPt>
            <c:idx val="6"/>
            <c:bubble3D val="0"/>
            <c:spPr>
              <a:gradFill flip="none" rotWithShape="1">
                <a:gsLst>
                  <a:gs pos="0">
                    <a:srgbClr val="FFFF00"/>
                  </a:gs>
                  <a:gs pos="39000">
                    <a:srgbClr val="FFFF00"/>
                  </a:gs>
                  <a:gs pos="84000">
                    <a:srgbClr val="92D050"/>
                  </a:gs>
                  <a:gs pos="63000">
                    <a:srgbClr val="92D050"/>
                  </a:gs>
                  <a:gs pos="97000">
                    <a:srgbClr val="92D050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44-4C5A-8DCA-12F4E6E2E8B0}"/>
              </c:ext>
            </c:extLst>
          </c:dPt>
          <c:dPt>
            <c:idx val="7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44-4C5A-8DCA-12F4E6E2E8B0}"/>
              </c:ext>
            </c:extLst>
          </c:dPt>
          <c:dPt>
            <c:idx val="8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44-4C5A-8DCA-12F4E6E2E8B0}"/>
              </c:ext>
            </c:extLst>
          </c:dPt>
          <c:dPt>
            <c:idx val="9"/>
            <c:bubble3D val="0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44-4C5A-8DCA-12F4E6E2E8B0}"/>
              </c:ext>
            </c:extLst>
          </c:dPt>
          <c:dLbls>
            <c:dLbl>
              <c:idx val="0"/>
              <c:layout>
                <c:manualLayout>
                  <c:x val="-6.1111111111111109E-2"/>
                  <c:y val="-6.9444444444444448E-2"/>
                </c:manualLayout>
              </c:layout>
              <c:tx>
                <c:rich>
                  <a:bodyPr/>
                  <a:lstStyle/>
                  <a:p>
                    <a:fld id="{0B7462C7-7710-4AB3-BD20-90F1C1310027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E44-4C5A-8DCA-12F4E6E2E8B0}"/>
                </c:ext>
              </c:extLst>
            </c:dLbl>
            <c:dLbl>
              <c:idx val="1"/>
              <c:layout>
                <c:manualLayout>
                  <c:x val="-4.7222112860892437E-2"/>
                  <c:y val="-8.333333333333332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198D83-10DC-4304-A3B8-BC61DB721526}" type="CELLRANGE">
                      <a:rPr lang="en-US" sz="1000" b="1">
                        <a:solidFill>
                          <a:schemeClr val="bg1"/>
                        </a:solidFill>
                      </a:rPr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endParaRPr lang="es-E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09733158355205E-2"/>
                      <c:h val="6.01159230096237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E44-4C5A-8DCA-12F4E6E2E8B0}"/>
                </c:ext>
              </c:extLst>
            </c:dLbl>
            <c:dLbl>
              <c:idx val="2"/>
              <c:layout>
                <c:manualLayout>
                  <c:x val="-1.6666666666666666E-2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1D00852A-7AE5-4C2B-8578-B311A413AF51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E44-4C5A-8DCA-12F4E6E2E8B0}"/>
                </c:ext>
              </c:extLst>
            </c:dLbl>
            <c:dLbl>
              <c:idx val="3"/>
              <c:layout>
                <c:manualLayout>
                  <c:x val="-8.3333333333333332E-3"/>
                  <c:y val="-9.7222222222222224E-2"/>
                </c:manualLayout>
              </c:layout>
              <c:tx>
                <c:rich>
                  <a:bodyPr/>
                  <a:lstStyle/>
                  <a:p>
                    <a:fld id="{6E0CB8A1-1040-4A83-AA22-AB1FFCC6E63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E44-4C5A-8DCA-12F4E6E2E8B0}"/>
                </c:ext>
              </c:extLst>
            </c:dLbl>
            <c:dLbl>
              <c:idx val="4"/>
              <c:layout>
                <c:manualLayout>
                  <c:x val="8.3333333333333332E-3"/>
                  <c:y val="-0.10185185185185187"/>
                </c:manualLayout>
              </c:layout>
              <c:tx>
                <c:rich>
                  <a:bodyPr/>
                  <a:lstStyle/>
                  <a:p>
                    <a:fld id="{F8F604CC-1C35-46E8-90D9-7D5C713511AF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E44-4C5A-8DCA-12F4E6E2E8B0}"/>
                </c:ext>
              </c:extLst>
            </c:dLbl>
            <c:dLbl>
              <c:idx val="5"/>
              <c:layout>
                <c:manualLayout>
                  <c:x val="2.2222222222222223E-2"/>
                  <c:y val="-0.10185185185185185"/>
                </c:manualLayout>
              </c:layout>
              <c:tx>
                <c:rich>
                  <a:bodyPr/>
                  <a:lstStyle/>
                  <a:p>
                    <a:fld id="{881806FF-28B9-499E-A65B-3AA5247DE46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E44-4C5A-8DCA-12F4E6E2E8B0}"/>
                </c:ext>
              </c:extLst>
            </c:dLbl>
            <c:dLbl>
              <c:idx val="6"/>
              <c:layout>
                <c:manualLayout>
                  <c:x val="3.0555555555555454E-2"/>
                  <c:y val="-9.2592592592592587E-2"/>
                </c:manualLayout>
              </c:layout>
              <c:tx>
                <c:rich>
                  <a:bodyPr/>
                  <a:lstStyle/>
                  <a:p>
                    <a:fld id="{C4722E7F-6439-4462-9C6E-606D7838CBBA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E44-4C5A-8DCA-12F4E6E2E8B0}"/>
                </c:ext>
              </c:extLst>
            </c:dLbl>
            <c:dLbl>
              <c:idx val="7"/>
              <c:layout>
                <c:manualLayout>
                  <c:x val="0.05"/>
                  <c:y val="-7.407407407407407E-2"/>
                </c:manualLayout>
              </c:layout>
              <c:tx>
                <c:rich>
                  <a:bodyPr/>
                  <a:lstStyle/>
                  <a:p>
                    <a:fld id="{AAD2009C-5E70-470F-AEFA-5E0CFB6CF3F2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E44-4C5A-8DCA-12F4E6E2E8B0}"/>
                </c:ext>
              </c:extLst>
            </c:dLbl>
            <c:dLbl>
              <c:idx val="8"/>
              <c:layout>
                <c:manualLayout>
                  <c:x val="5.833333333333323E-2"/>
                  <c:y val="-7.4074074074074153E-2"/>
                </c:manualLayout>
              </c:layout>
              <c:tx>
                <c:rich>
                  <a:bodyPr/>
                  <a:lstStyle/>
                  <a:p>
                    <a:fld id="{C93C365E-054B-4CD7-B907-9180A8BCC77C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E44-4C5A-8DCA-12F4E6E2E8B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E44-4C5A-8DCA-12F4E6E2E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Objetivos!$C$52:$C$61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Objetivos!$B$52:$B$61</c15:f>
                <c15:dlblRangeCache>
                  <c:ptCount val="1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3E44-4C5A-8DCA-12F4E6E2E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catterChart>
        <c:scatterStyle val="smoothMarker"/>
        <c:varyColors val="0"/>
        <c:ser>
          <c:idx val="1"/>
          <c:order val="1"/>
          <c:tx>
            <c:strRef>
              <c:f>Objetivos!$B$65</c:f>
              <c:strCache>
                <c:ptCount val="1"/>
                <c:pt idx="0">
                  <c:v>Puntos </c:v>
                </c:pt>
              </c:strCache>
            </c:strRef>
          </c:tx>
          <c:spPr>
            <a:ln w="28575" cap="rnd">
              <a:solidFill>
                <a:srgbClr val="1D05D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1D05D1"/>
                </a:solidFill>
                <a:round/>
                <a:headEnd type="oval"/>
                <a:tailEnd type="stealth"/>
              </a:ln>
              <a:effectLst/>
            </c:spPr>
            <c:extLst>
              <c:ext xmlns:c16="http://schemas.microsoft.com/office/drawing/2014/chart" uri="{C3380CC4-5D6E-409C-BE32-E72D297353CC}">
                <c16:uniqueId val="{00000016-3E44-4C5A-8DCA-12F4E6E2E8B0}"/>
              </c:ext>
            </c:extLst>
          </c:dPt>
          <c:xVal>
            <c:numRef>
              <c:f>Objetivos!$C$70:$C$71</c:f>
              <c:numCache>
                <c:formatCode>General</c:formatCode>
                <c:ptCount val="2"/>
                <c:pt idx="0">
                  <c:v>0</c:v>
                </c:pt>
                <c:pt idx="1">
                  <c:v>0.11625245282556283</c:v>
                </c:pt>
              </c:numCache>
            </c:numRef>
          </c:xVal>
          <c:yVal>
            <c:numRef>
              <c:f>Objetivos!$D$70:$D$71</c:f>
              <c:numCache>
                <c:formatCode>General</c:formatCode>
                <c:ptCount val="2"/>
                <c:pt idx="0">
                  <c:v>0</c:v>
                </c:pt>
                <c:pt idx="1">
                  <c:v>0.9932196973540347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3E44-4C5A-8DCA-12F4E6E2E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62799"/>
        <c:axId val="381248655"/>
      </c:scatterChart>
      <c:valAx>
        <c:axId val="381248655"/>
        <c:scaling>
          <c:orientation val="minMax"/>
          <c:max val="1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381262799"/>
        <c:crosses val="autoZero"/>
        <c:crossBetween val="midCat"/>
      </c:valAx>
      <c:valAx>
        <c:axId val="381262799"/>
        <c:scaling>
          <c:orientation val="minMax"/>
          <c:max val="1"/>
          <c:min val="-1"/>
        </c:scaling>
        <c:delete val="1"/>
        <c:axPos val="b"/>
        <c:numFmt formatCode="General" sourceLinked="1"/>
        <c:majorTickMark val="out"/>
        <c:minorTickMark val="none"/>
        <c:tickLblPos val="nextTo"/>
        <c:crossAx val="38124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Seguimiento Objetivo Comercial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'Objetivos Com.'!$C$37</c:f>
              <c:strCache>
                <c:ptCount val="1"/>
                <c:pt idx="0">
                  <c:v>Cuota Comercial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-1.2248053973490484E-2"/>
                  <c:y val="-3.4795919971081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45-426F-A5D9-BF180306D1BC}"/>
                </c:ext>
              </c:extLst>
            </c:dLbl>
            <c:dLbl>
              <c:idx val="1"/>
              <c:layout>
                <c:manualLayout>
                  <c:x val="1.2345675011932495E-2"/>
                  <c:y val="-2.9339860832030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45-426F-A5D9-BF180306D1BC}"/>
                </c:ext>
              </c:extLst>
            </c:dLbl>
            <c:dLbl>
              <c:idx val="2"/>
              <c:layout>
                <c:manualLayout>
                  <c:x val="6.1728375059662659E-3"/>
                  <c:y val="-2.9339860832030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45-426F-A5D9-BF180306D1BC}"/>
                </c:ext>
              </c:extLst>
            </c:dLbl>
            <c:dLbl>
              <c:idx val="3"/>
              <c:layout>
                <c:manualLayout>
                  <c:x val="1.6460900015909892E-2"/>
                  <c:y val="-2.28198917582457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045-426F-A5D9-BF180306D1B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'Objetivos Com.'!$B$38:$B$41</c:f>
              <c:strCache>
                <c:ptCount val="4"/>
                <c:pt idx="0">
                  <c:v>Minería</c:v>
                </c:pt>
                <c:pt idx="1">
                  <c:v>Industria</c:v>
                </c:pt>
                <c:pt idx="2">
                  <c:v>Petroquímica</c:v>
                </c:pt>
                <c:pt idx="3">
                  <c:v>Safety</c:v>
                </c:pt>
              </c:strCache>
            </c:strRef>
          </c:cat>
          <c:val>
            <c:numRef>
              <c:f>'Objetivos Com.'!$C$38:$C$41</c:f>
              <c:numCache>
                <c:formatCode>#,##0.00</c:formatCode>
                <c:ptCount val="4"/>
                <c:pt idx="0">
                  <c:v>105014.9</c:v>
                </c:pt>
                <c:pt idx="1">
                  <c:v>105014.9</c:v>
                </c:pt>
                <c:pt idx="2">
                  <c:v>105014.9</c:v>
                </c:pt>
                <c:pt idx="3">
                  <c:v>105014.9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6-4DAA-A9A8-BE1EC71C219E}"/>
            </c:ext>
          </c:extLst>
        </c:ser>
        <c:ser>
          <c:idx val="1"/>
          <c:order val="1"/>
          <c:tx>
            <c:strRef>
              <c:f>'Objetivos Com.'!$D$37</c:f>
              <c:strCache>
                <c:ptCount val="1"/>
                <c:pt idx="0">
                  <c:v>Conseguido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1.6460900015910045E-2"/>
                  <c:y val="-2.9339860832030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45-426F-A5D9-BF180306D1BC}"/>
                </c:ext>
              </c:extLst>
            </c:dLbl>
            <c:dLbl>
              <c:idx val="1"/>
              <c:layout>
                <c:manualLayout>
                  <c:x val="2.8155986430549871E-2"/>
                  <c:y val="-5.00319046945479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45-426F-A5D9-BF180306D1BC}"/>
                </c:ext>
              </c:extLst>
            </c:dLbl>
            <c:dLbl>
              <c:idx val="2"/>
              <c:layout>
                <c:manualLayout>
                  <c:x val="1.9071509341964665E-2"/>
                  <c:y val="-5.0763983843336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45-426F-A5D9-BF180306D1BC}"/>
                </c:ext>
              </c:extLst>
            </c:dLbl>
            <c:dLbl>
              <c:idx val="3"/>
              <c:layout>
                <c:manualLayout>
                  <c:x val="2.8107158541941152E-2"/>
                  <c:y val="-3.9920159680638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36-4742-89A7-21CE3FBF5B1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'Objetivos Com.'!$B$38:$B$41</c:f>
              <c:strCache>
                <c:ptCount val="4"/>
                <c:pt idx="0">
                  <c:v>Minería</c:v>
                </c:pt>
                <c:pt idx="1">
                  <c:v>Industria</c:v>
                </c:pt>
                <c:pt idx="2">
                  <c:v>Petroquímica</c:v>
                </c:pt>
                <c:pt idx="3">
                  <c:v>Safety</c:v>
                </c:pt>
              </c:strCache>
            </c:strRef>
          </c:cat>
          <c:val>
            <c:numRef>
              <c:f>'Objetivos Com.'!$D$38:$D$41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6-4DAA-A9A8-BE1EC71C21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27512576"/>
        <c:axId val="327512032"/>
        <c:axId val="0"/>
      </c:bar3DChart>
      <c:catAx>
        <c:axId val="327512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27512032"/>
        <c:crosses val="autoZero"/>
        <c:auto val="1"/>
        <c:lblAlgn val="ctr"/>
        <c:lblOffset val="100"/>
        <c:noMultiLvlLbl val="0"/>
      </c:catAx>
      <c:valAx>
        <c:axId val="32751203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327512576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Ordenes de compra vs Facturado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'Admin y Com'!$F$2</c:f>
              <c:strCache>
                <c:ptCount val="1"/>
                <c:pt idx="0">
                  <c:v>Monto 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'Admin y Com'!$A$3:$A$11</c:f>
              <c:strCache>
                <c:ptCount val="9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</c:strCache>
            </c:strRef>
          </c:cat>
          <c:val>
            <c:numRef>
              <c:f>'Admin y Com'!$F$3:$F$11</c:f>
              <c:numCache>
                <c:formatCode>#,##0.00</c:formatCode>
                <c:ptCount val="9"/>
                <c:pt idx="0">
                  <c:v>593304.39</c:v>
                </c:pt>
                <c:pt idx="1">
                  <c:v>107221.34</c:v>
                </c:pt>
                <c:pt idx="2">
                  <c:v>260367.91</c:v>
                </c:pt>
                <c:pt idx="3">
                  <c:v>46334.09</c:v>
                </c:pt>
                <c:pt idx="4">
                  <c:v>47217.8</c:v>
                </c:pt>
                <c:pt idx="5">
                  <c:v>88748.97</c:v>
                </c:pt>
                <c:pt idx="6">
                  <c:v>292765.59999999998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C-4CBD-BF01-3BB615EF050A}"/>
            </c:ext>
          </c:extLst>
        </c:ser>
        <c:ser>
          <c:idx val="1"/>
          <c:order val="1"/>
          <c:tx>
            <c:strRef>
              <c:f>'Admin y Com'!$K$2</c:f>
              <c:strCache>
                <c:ptCount val="1"/>
                <c:pt idx="0">
                  <c:v>Monto Fact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'Admin y Com'!$A$3:$A$11</c:f>
              <c:strCache>
                <c:ptCount val="9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</c:strCache>
            </c:strRef>
          </c:cat>
          <c:val>
            <c:numRef>
              <c:f>'Admin y Com'!$K$3:$K$11</c:f>
              <c:numCache>
                <c:formatCode>#,##0.00</c:formatCode>
                <c:ptCount val="9"/>
                <c:pt idx="0">
                  <c:v>158440.41</c:v>
                </c:pt>
                <c:pt idx="1">
                  <c:v>5585.14</c:v>
                </c:pt>
                <c:pt idx="2">
                  <c:v>15865</c:v>
                </c:pt>
                <c:pt idx="3">
                  <c:v>0</c:v>
                </c:pt>
                <c:pt idx="4">
                  <c:v>154073.32</c:v>
                </c:pt>
                <c:pt idx="5">
                  <c:v>98108.38</c:v>
                </c:pt>
                <c:pt idx="6">
                  <c:v>198125.33</c:v>
                </c:pt>
                <c:pt idx="7">
                  <c:v>30800.579999999998</c:v>
                </c:pt>
                <c:pt idx="8">
                  <c:v>61128.21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C-4CBD-BF01-3BB615EF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002399935"/>
        <c:axId val="1002407423"/>
      </c:lineChart>
      <c:catAx>
        <c:axId val="100239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407423"/>
        <c:crosses val="autoZero"/>
        <c:auto val="1"/>
        <c:lblAlgn val="ctr"/>
        <c:lblOffset val="100"/>
        <c:noMultiLvlLbl val="0"/>
      </c:catAx>
      <c:valAx>
        <c:axId val="10024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3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Ordenes de compra VS Facturado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'Admin y Com'!$F$2</c:f>
              <c:strCache>
                <c:ptCount val="1"/>
                <c:pt idx="0">
                  <c:v>Monto 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'Admin y Com'!$A$3:$A$11</c:f>
              <c:strCache>
                <c:ptCount val="9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</c:strCache>
            </c:strRef>
          </c:cat>
          <c:val>
            <c:numRef>
              <c:f>'Admin y Com'!$F$3:$F$11</c:f>
              <c:numCache>
                <c:formatCode>#,##0.00</c:formatCode>
                <c:ptCount val="9"/>
                <c:pt idx="0">
                  <c:v>593304.39</c:v>
                </c:pt>
                <c:pt idx="1">
                  <c:v>107221.34</c:v>
                </c:pt>
                <c:pt idx="2">
                  <c:v>260367.91</c:v>
                </c:pt>
                <c:pt idx="3">
                  <c:v>46334.09</c:v>
                </c:pt>
                <c:pt idx="4">
                  <c:v>47217.8</c:v>
                </c:pt>
                <c:pt idx="5">
                  <c:v>88748.97</c:v>
                </c:pt>
                <c:pt idx="6">
                  <c:v>292765.59999999998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5-4627-8BCE-774AB761BD47}"/>
            </c:ext>
          </c:extLst>
        </c:ser>
        <c:ser>
          <c:idx val="1"/>
          <c:order val="1"/>
          <c:tx>
            <c:strRef>
              <c:f>'Admin y Com'!$K$2</c:f>
              <c:strCache>
                <c:ptCount val="1"/>
                <c:pt idx="0">
                  <c:v>Monto Fact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'Admin y Com'!$A$3:$A$11</c:f>
              <c:strCache>
                <c:ptCount val="9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</c:strCache>
            </c:strRef>
          </c:cat>
          <c:val>
            <c:numRef>
              <c:f>'Admin y Com'!$K$3:$K$11</c:f>
              <c:numCache>
                <c:formatCode>#,##0.00</c:formatCode>
                <c:ptCount val="9"/>
                <c:pt idx="0">
                  <c:v>158440.41</c:v>
                </c:pt>
                <c:pt idx="1">
                  <c:v>5585.14</c:v>
                </c:pt>
                <c:pt idx="2">
                  <c:v>15865</c:v>
                </c:pt>
                <c:pt idx="3">
                  <c:v>0</c:v>
                </c:pt>
                <c:pt idx="4">
                  <c:v>154073.32</c:v>
                </c:pt>
                <c:pt idx="5">
                  <c:v>98108.38</c:v>
                </c:pt>
                <c:pt idx="6">
                  <c:v>198125.33</c:v>
                </c:pt>
                <c:pt idx="7">
                  <c:v>30800.579999999998</c:v>
                </c:pt>
                <c:pt idx="8">
                  <c:v>61128.21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5-4627-8BCE-774AB761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002399935"/>
        <c:axId val="1002407423"/>
        <c:axId val="1086429215"/>
      </c:area3DChart>
      <c:catAx>
        <c:axId val="100239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407423"/>
        <c:crosses val="autoZero"/>
        <c:auto val="1"/>
        <c:lblAlgn val="ctr"/>
        <c:lblOffset val="100"/>
        <c:noMultiLvlLbl val="0"/>
      </c:catAx>
      <c:valAx>
        <c:axId val="10024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399935"/>
        <c:crosses val="autoZero"/>
        <c:crossBetween val="midCat"/>
      </c:valAx>
      <c:serAx>
        <c:axId val="10864292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40742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%OC VS %FAC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D01-4686-95E8-F53E66258D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D01-4686-95E8-F53E66258DA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'Admin y Com'!$B$25:$B$26</c:f>
              <c:strCache>
                <c:ptCount val="2"/>
                <c:pt idx="0">
                  <c:v>Monto Fac</c:v>
                </c:pt>
                <c:pt idx="1">
                  <c:v>Monto OC</c:v>
                </c:pt>
              </c:strCache>
            </c:strRef>
          </c:cat>
          <c:val>
            <c:numRef>
              <c:f>'Admin y Com'!$E$25:$E$26</c:f>
              <c:numCache>
                <c:formatCode>0</c:formatCode>
                <c:ptCount val="2"/>
                <c:pt idx="0">
                  <c:v>37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D-4943-A5C1-74E3CC36E4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Ordenes de compra VS Facturado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'Admin y Com'!$F$2</c:f>
              <c:strCache>
                <c:ptCount val="1"/>
                <c:pt idx="0">
                  <c:v>Monto 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'Admin y Com'!$A$3:$A$10</c:f>
              <c:strCache>
                <c:ptCount val="8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'Admin y Com'!$F$3:$F$11</c:f>
              <c:numCache>
                <c:formatCode>#,##0.00</c:formatCode>
                <c:ptCount val="9"/>
                <c:pt idx="0">
                  <c:v>593304.39</c:v>
                </c:pt>
                <c:pt idx="1">
                  <c:v>107221.34</c:v>
                </c:pt>
                <c:pt idx="2">
                  <c:v>260367.91</c:v>
                </c:pt>
                <c:pt idx="3">
                  <c:v>46334.09</c:v>
                </c:pt>
                <c:pt idx="4">
                  <c:v>47217.8</c:v>
                </c:pt>
                <c:pt idx="5">
                  <c:v>88748.97</c:v>
                </c:pt>
                <c:pt idx="6">
                  <c:v>292765.59999999998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D-4583-A0D5-4576066B300F}"/>
            </c:ext>
          </c:extLst>
        </c:ser>
        <c:ser>
          <c:idx val="1"/>
          <c:order val="1"/>
          <c:tx>
            <c:strRef>
              <c:f>'Admin y Com'!$K$2</c:f>
              <c:strCache>
                <c:ptCount val="1"/>
                <c:pt idx="0">
                  <c:v>Monto Fact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'Admin y Com'!$A$3:$A$10</c:f>
              <c:strCache>
                <c:ptCount val="8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'Admin y Com'!$K$3:$K$11</c:f>
              <c:numCache>
                <c:formatCode>#,##0.00</c:formatCode>
                <c:ptCount val="9"/>
                <c:pt idx="0">
                  <c:v>158440.41</c:v>
                </c:pt>
                <c:pt idx="1">
                  <c:v>5585.14</c:v>
                </c:pt>
                <c:pt idx="2">
                  <c:v>15865</c:v>
                </c:pt>
                <c:pt idx="3">
                  <c:v>0</c:v>
                </c:pt>
                <c:pt idx="4">
                  <c:v>154073.32</c:v>
                </c:pt>
                <c:pt idx="5">
                  <c:v>98108.38</c:v>
                </c:pt>
                <c:pt idx="6">
                  <c:v>198125.33</c:v>
                </c:pt>
                <c:pt idx="7">
                  <c:v>30800.579999999998</c:v>
                </c:pt>
                <c:pt idx="8">
                  <c:v>61128.21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D-4583-A0D5-4576066B3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399935"/>
        <c:axId val="1002407423"/>
      </c:barChart>
      <c:catAx>
        <c:axId val="1002399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407423"/>
        <c:crosses val="autoZero"/>
        <c:auto val="1"/>
        <c:lblAlgn val="ctr"/>
        <c:lblOffset val="100"/>
        <c:noMultiLvlLbl val="0"/>
      </c:catAx>
      <c:valAx>
        <c:axId val="10024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23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6" Type="http://schemas.openxmlformats.org/officeDocument/2006/relationships/chart" Target="../charts/chart28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66674</xdr:colOff>
      <xdr:row>3</xdr:row>
      <xdr:rowOff>95249</xdr:rowOff>
    </xdr:from>
    <xdr:to>
      <xdr:col>25</xdr:col>
      <xdr:colOff>209549</xdr:colOff>
      <xdr:row>25</xdr:row>
      <xdr:rowOff>28574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266700</xdr:colOff>
      <xdr:row>2</xdr:row>
      <xdr:rowOff>161924</xdr:rowOff>
    </xdr:from>
    <xdr:to>
      <xdr:col>32</xdr:col>
      <xdr:colOff>266700</xdr:colOff>
      <xdr:row>24</xdr:row>
      <xdr:rowOff>28574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552450</xdr:colOff>
      <xdr:row>26</xdr:row>
      <xdr:rowOff>19050</xdr:rowOff>
    </xdr:from>
    <xdr:to>
      <xdr:col>23</xdr:col>
      <xdr:colOff>552450</xdr:colOff>
      <xdr:row>41</xdr:row>
      <xdr:rowOff>133350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409575</xdr:colOff>
      <xdr:row>3</xdr:row>
      <xdr:rowOff>57149</xdr:rowOff>
    </xdr:from>
    <xdr:to>
      <xdr:col>33</xdr:col>
      <xdr:colOff>409575</xdr:colOff>
      <xdr:row>21</xdr:row>
      <xdr:rowOff>104774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295274</xdr:colOff>
      <xdr:row>3</xdr:row>
      <xdr:rowOff>142874</xdr:rowOff>
    </xdr:from>
    <xdr:to>
      <xdr:col>27</xdr:col>
      <xdr:colOff>276225</xdr:colOff>
      <xdr:row>21</xdr:row>
      <xdr:rowOff>190499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428625</xdr:colOff>
      <xdr:row>23</xdr:row>
      <xdr:rowOff>161925</xdr:rowOff>
    </xdr:from>
    <xdr:to>
      <xdr:col>22</xdr:col>
      <xdr:colOff>428625</xdr:colOff>
      <xdr:row>38</xdr:row>
      <xdr:rowOff>142875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47624</xdr:colOff>
      <xdr:row>3</xdr:row>
      <xdr:rowOff>28574</xdr:rowOff>
    </xdr:from>
    <xdr:to>
      <xdr:col>34</xdr:col>
      <xdr:colOff>247649</xdr:colOff>
      <xdr:row>26</xdr:row>
      <xdr:rowOff>38099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95250</xdr:colOff>
      <xdr:row>2</xdr:row>
      <xdr:rowOff>19050</xdr:rowOff>
    </xdr:from>
    <xdr:to>
      <xdr:col>26</xdr:col>
      <xdr:colOff>485775</xdr:colOff>
      <xdr:row>17</xdr:row>
      <xdr:rowOff>95250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47625</xdr:colOff>
      <xdr:row>22</xdr:row>
      <xdr:rowOff>161925</xdr:rowOff>
    </xdr:from>
    <xdr:to>
      <xdr:col>23</xdr:col>
      <xdr:colOff>47625</xdr:colOff>
      <xdr:row>38</xdr:row>
      <xdr:rowOff>47625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323850</xdr:colOff>
      <xdr:row>2</xdr:row>
      <xdr:rowOff>0</xdr:rowOff>
    </xdr:from>
    <xdr:to>
      <xdr:col>22</xdr:col>
      <xdr:colOff>609600</xdr:colOff>
      <xdr:row>16</xdr:row>
      <xdr:rowOff>28575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714375</xdr:colOff>
      <xdr:row>2</xdr:row>
      <xdr:rowOff>66674</xdr:rowOff>
    </xdr:from>
    <xdr:to>
      <xdr:col>29</xdr:col>
      <xdr:colOff>561975</xdr:colOff>
      <xdr:row>16</xdr:row>
      <xdr:rowOff>28575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257175</xdr:colOff>
      <xdr:row>17</xdr:row>
      <xdr:rowOff>85724</xdr:rowOff>
    </xdr:from>
    <xdr:to>
      <xdr:col>22</xdr:col>
      <xdr:colOff>657225</xdr:colOff>
      <xdr:row>27</xdr:row>
      <xdr:rowOff>257174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282248</xdr:colOff>
      <xdr:row>55</xdr:row>
      <xdr:rowOff>58688</xdr:rowOff>
    </xdr:from>
    <xdr:to>
      <xdr:col>10</xdr:col>
      <xdr:colOff>541804</xdr:colOff>
      <xdr:row>77</xdr:row>
      <xdr:rowOff>182514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191201</xdr:colOff>
      <xdr:row>100</xdr:row>
      <xdr:rowOff>36699</xdr:rowOff>
    </xdr:from>
    <xdr:to>
      <xdr:col>10</xdr:col>
      <xdr:colOff>728954</xdr:colOff>
      <xdr:row>117</xdr:row>
      <xdr:rowOff>174949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140914</xdr:colOff>
      <xdr:row>137</xdr:row>
      <xdr:rowOff>26194</xdr:rowOff>
    </xdr:from>
    <xdr:to>
      <xdr:col>10</xdr:col>
      <xdr:colOff>637761</xdr:colOff>
      <xdr:row>157</xdr:row>
      <xdr:rowOff>82826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122424</xdr:colOff>
      <xdr:row>177</xdr:row>
      <xdr:rowOff>5462</xdr:rowOff>
    </xdr:from>
    <xdr:to>
      <xdr:col>11</xdr:col>
      <xdr:colOff>106912</xdr:colOff>
      <xdr:row>196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749886</xdr:colOff>
      <xdr:row>137</xdr:row>
      <xdr:rowOff>24130</xdr:rowOff>
    </xdr:from>
    <xdr:to>
      <xdr:col>17</xdr:col>
      <xdr:colOff>702469</xdr:colOff>
      <xdr:row>151</xdr:row>
      <xdr:rowOff>98190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606418</xdr:colOff>
      <xdr:row>55</xdr:row>
      <xdr:rowOff>47837</xdr:rowOff>
    </xdr:from>
    <xdr:to>
      <xdr:col>16</xdr:col>
      <xdr:colOff>166133</xdr:colOff>
      <xdr:row>70</xdr:row>
      <xdr:rowOff>16460</xdr:rowOff>
    </xdr:to>
    <xdr:graphicFrame macro="">
      <xdr:nvGraphicFramePr>
        <xdr:cNvPr id="12" name="11 Gráfico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74912</xdr:colOff>
      <xdr:row>99</xdr:row>
      <xdr:rowOff>175351</xdr:rowOff>
    </xdr:from>
    <xdr:to>
      <xdr:col>17</xdr:col>
      <xdr:colOff>750093</xdr:colOff>
      <xdr:row>114</xdr:row>
      <xdr:rowOff>48491</xdr:rowOff>
    </xdr:to>
    <xdr:graphicFrame macro="">
      <xdr:nvGraphicFramePr>
        <xdr:cNvPr id="14" name="13 Gráfico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319422</xdr:colOff>
      <xdr:row>176</xdr:row>
      <xdr:rowOff>181973</xdr:rowOff>
    </xdr:from>
    <xdr:to>
      <xdr:col>17</xdr:col>
      <xdr:colOff>689347</xdr:colOff>
      <xdr:row>192</xdr:row>
      <xdr:rowOff>67673</xdr:rowOff>
    </xdr:to>
    <xdr:graphicFrame macro="">
      <xdr:nvGraphicFramePr>
        <xdr:cNvPr id="15" name="14 Gráfico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177210</xdr:colOff>
      <xdr:row>0</xdr:row>
      <xdr:rowOff>166133</xdr:rowOff>
    </xdr:from>
    <xdr:to>
      <xdr:col>18</xdr:col>
      <xdr:colOff>55377</xdr:colOff>
      <xdr:row>35</xdr:row>
      <xdr:rowOff>142043</xdr:rowOff>
    </xdr:to>
    <xdr:graphicFrame macro="">
      <xdr:nvGraphicFramePr>
        <xdr:cNvPr id="22" name="21 Gráfico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110756</xdr:colOff>
      <xdr:row>19</xdr:row>
      <xdr:rowOff>44302</xdr:rowOff>
    </xdr:from>
    <xdr:to>
      <xdr:col>5</xdr:col>
      <xdr:colOff>630528</xdr:colOff>
      <xdr:row>33</xdr:row>
      <xdr:rowOff>99678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11906</xdr:colOff>
      <xdr:row>195</xdr:row>
      <xdr:rowOff>170059</xdr:rowOff>
    </xdr:from>
    <xdr:to>
      <xdr:col>9</xdr:col>
      <xdr:colOff>412037</xdr:colOff>
      <xdr:row>210</xdr:row>
      <xdr:rowOff>53618</xdr:rowOff>
    </xdr:to>
    <xdr:graphicFrame macro="">
      <xdr:nvGraphicFramePr>
        <xdr:cNvPr id="13" name="12 Gráfico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23812</xdr:colOff>
      <xdr:row>212</xdr:row>
      <xdr:rowOff>28575</xdr:rowOff>
    </xdr:from>
    <xdr:to>
      <xdr:col>9</xdr:col>
      <xdr:colOff>428625</xdr:colOff>
      <xdr:row>226</xdr:row>
      <xdr:rowOff>104775</xdr:rowOff>
    </xdr:to>
    <xdr:graphicFrame macro="">
      <xdr:nvGraphicFramePr>
        <xdr:cNvPr id="17" name="16 Gráfico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227</xdr:row>
      <xdr:rowOff>133350</xdr:rowOff>
    </xdr:from>
    <xdr:to>
      <xdr:col>9</xdr:col>
      <xdr:colOff>428625</xdr:colOff>
      <xdr:row>242</xdr:row>
      <xdr:rowOff>19050</xdr:rowOff>
    </xdr:to>
    <xdr:graphicFrame macro="">
      <xdr:nvGraphicFramePr>
        <xdr:cNvPr id="18" name="17 Gráfico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23812</xdr:colOff>
      <xdr:row>243</xdr:row>
      <xdr:rowOff>38100</xdr:rowOff>
    </xdr:from>
    <xdr:to>
      <xdr:col>9</xdr:col>
      <xdr:colOff>466725</xdr:colOff>
      <xdr:row>257</xdr:row>
      <xdr:rowOff>114300</xdr:rowOff>
    </xdr:to>
    <xdr:graphicFrame macro="">
      <xdr:nvGraphicFramePr>
        <xdr:cNvPr id="19" name="18 Gráfico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690563</xdr:colOff>
      <xdr:row>243</xdr:row>
      <xdr:rowOff>23812</xdr:rowOff>
    </xdr:from>
    <xdr:to>
      <xdr:col>18</xdr:col>
      <xdr:colOff>657226</xdr:colOff>
      <xdr:row>257</xdr:row>
      <xdr:rowOff>100012</xdr:rowOff>
    </xdr:to>
    <xdr:graphicFrame macro="">
      <xdr:nvGraphicFramePr>
        <xdr:cNvPr id="21" name="20 Gráfico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220887</xdr:colOff>
      <xdr:row>36</xdr:row>
      <xdr:rowOff>111381</xdr:rowOff>
    </xdr:from>
    <xdr:to>
      <xdr:col>25</xdr:col>
      <xdr:colOff>657359</xdr:colOff>
      <xdr:row>69</xdr:row>
      <xdr:rowOff>122456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84047</xdr:colOff>
      <xdr:row>31</xdr:row>
      <xdr:rowOff>112618</xdr:rowOff>
    </xdr:from>
    <xdr:to>
      <xdr:col>6</xdr:col>
      <xdr:colOff>314326</xdr:colOff>
      <xdr:row>47</xdr:row>
      <xdr:rowOff>95249</xdr:rowOff>
    </xdr:to>
    <xdr:graphicFrame macro="">
      <xdr:nvGraphicFramePr>
        <xdr:cNvPr id="2" name="1 Gráfico" title="Avance con respecto al objetivo Máxim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552453</xdr:colOff>
      <xdr:row>31</xdr:row>
      <xdr:rowOff>85725</xdr:rowOff>
    </xdr:from>
    <xdr:to>
      <xdr:col>14</xdr:col>
      <xdr:colOff>43296</xdr:colOff>
      <xdr:row>47</xdr:row>
      <xdr:rowOff>104775</xdr:rowOff>
    </xdr:to>
    <xdr:graphicFrame macro="">
      <xdr:nvGraphicFramePr>
        <xdr:cNvPr id="14" name="13 Gráfico" title="Avance con respecto al objetivo Máximo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95251</xdr:colOff>
      <xdr:row>15</xdr:row>
      <xdr:rowOff>171450</xdr:rowOff>
    </xdr:from>
    <xdr:to>
      <xdr:col>18</xdr:col>
      <xdr:colOff>133351</xdr:colOff>
      <xdr:row>30</xdr:row>
      <xdr:rowOff>171451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542060</xdr:colOff>
      <xdr:row>50</xdr:row>
      <xdr:rowOff>26458</xdr:rowOff>
    </xdr:from>
    <xdr:to>
      <xdr:col>8</xdr:col>
      <xdr:colOff>52916</xdr:colOff>
      <xdr:row>63</xdr:row>
      <xdr:rowOff>135082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346364</xdr:colOff>
      <xdr:row>49</xdr:row>
      <xdr:rowOff>181841</xdr:rowOff>
    </xdr:from>
    <xdr:to>
      <xdr:col>14</xdr:col>
      <xdr:colOff>202623</xdr:colOff>
      <xdr:row>63</xdr:row>
      <xdr:rowOff>105641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B7FCC2-C114-419D-B784-8A7AA346F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0.02838</cdr:x>
      <cdr:y>0.18393</cdr:y>
    </cdr:from>
    <cdr:to>
      <cdr:x>0.23672</cdr:x>
      <cdr:y>0.27232</cdr:y>
    </cdr:to>
    <cdr:sp macro="" textlink="">
      <cdr:nvSpPr>
        <cdr:cNvPr id="3" name="2 Rectángulo"/>
        <cdr:cNvSpPr/>
      </cdr:nvSpPr>
      <cdr:spPr>
        <a:xfrm xmlns:a="http://schemas.openxmlformats.org/drawingml/2006/main">
          <a:off x="132227" y="557423"/>
          <a:ext cx="970740" cy="2678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r"/>
          <a:r>
            <a:rPr lang="es-PE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</cdr:x>
      <cdr:y>0.53628</cdr:y>
    </cdr:from>
    <cdr:to>
      <cdr:x>0.22857</cdr:x>
      <cdr:y>0.62511</cdr:y>
    </cdr:to>
    <cdr:sp macro="" textlink="">
      <cdr:nvSpPr>
        <cdr:cNvPr id="6" name="1 Rectángulo"/>
        <cdr:cNvSpPr/>
      </cdr:nvSpPr>
      <cdr:spPr>
        <a:xfrm xmlns:a="http://schemas.openxmlformats.org/drawingml/2006/main">
          <a:off x="0" y="1625264"/>
          <a:ext cx="1065000" cy="2692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PE">
              <a:solidFill>
                <a:sysClr val="windowText" lastClr="000000"/>
              </a:solidFill>
            </a:rPr>
            <a:t>Avance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0.04105</cdr:x>
      <cdr:y>0.17965</cdr:y>
    </cdr:from>
    <cdr:to>
      <cdr:x>0.19601</cdr:x>
      <cdr:y>0.26849</cdr:y>
    </cdr:to>
    <cdr:sp macro="" textlink="">
      <cdr:nvSpPr>
        <cdr:cNvPr id="5" name="2 Rectángulo"/>
        <cdr:cNvSpPr/>
      </cdr:nvSpPr>
      <cdr:spPr>
        <a:xfrm xmlns:a="http://schemas.openxmlformats.org/drawingml/2006/main">
          <a:off x="190033" y="550992"/>
          <a:ext cx="717332" cy="2724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r"/>
          <a:r>
            <a:rPr lang="es-PE">
              <a:solidFill>
                <a:sysClr val="windowText" lastClr="000000"/>
              </a:solidFill>
            </a:rPr>
            <a:t>Faltante</a:t>
          </a:r>
        </a:p>
      </cdr:txBody>
    </cdr:sp>
  </cdr:relSizeAnchor>
  <cdr:relSizeAnchor xmlns:cdr="http://schemas.openxmlformats.org/drawingml/2006/chartDrawing">
    <cdr:from>
      <cdr:x>0.03733</cdr:x>
      <cdr:y>0.5688</cdr:y>
    </cdr:from>
    <cdr:to>
      <cdr:x>0.20016</cdr:x>
      <cdr:y>0.65994</cdr:y>
    </cdr:to>
    <cdr:sp macro="" textlink="">
      <cdr:nvSpPr>
        <cdr:cNvPr id="6" name="1 Rectángulo"/>
        <cdr:cNvSpPr/>
      </cdr:nvSpPr>
      <cdr:spPr>
        <a:xfrm xmlns:a="http://schemas.openxmlformats.org/drawingml/2006/main">
          <a:off x="172823" y="1744544"/>
          <a:ext cx="753764" cy="2795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PE">
              <a:solidFill>
                <a:sysClr val="windowText" lastClr="000000"/>
              </a:solidFill>
            </a:rPr>
            <a:t>Avance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0.77604</cdr:x>
      <cdr:y>0.51324</cdr:y>
    </cdr:from>
    <cdr:to>
      <cdr:x>0.92451</cdr:x>
      <cdr:y>0.60127</cdr:y>
    </cdr:to>
    <cdr:sp macro="" textlink="">
      <cdr:nvSpPr>
        <cdr:cNvPr id="2" name="Rectángulo 1"/>
        <cdr:cNvSpPr/>
      </cdr:nvSpPr>
      <cdr:spPr>
        <a:xfrm xmlns:a="http://schemas.openxmlformats.org/drawingml/2006/main">
          <a:off x="2670462" y="1329705"/>
          <a:ext cx="510887" cy="22806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PE" b="1"/>
            <a:t>100%</a:t>
          </a:r>
        </a:p>
      </cdr:txBody>
    </cdr:sp>
  </cdr:relSizeAnchor>
  <cdr:relSizeAnchor xmlns:cdr="http://schemas.openxmlformats.org/drawingml/2006/chartDrawing">
    <cdr:from>
      <cdr:x>0.42431</cdr:x>
      <cdr:y>0.61167</cdr:y>
    </cdr:from>
    <cdr:to>
      <cdr:x>0.61428</cdr:x>
      <cdr:y>0.79746</cdr:y>
    </cdr:to>
    <cdr:sp macro="" textlink="Objetivos!$G$66">
      <cdr:nvSpPr>
        <cdr:cNvPr id="4" name="Elipse 3"/>
        <cdr:cNvSpPr/>
      </cdr:nvSpPr>
      <cdr:spPr>
        <a:xfrm xmlns:a="http://schemas.openxmlformats.org/drawingml/2006/main">
          <a:off x="1577689" y="1584702"/>
          <a:ext cx="706349" cy="481345"/>
        </a:xfrm>
        <a:prstGeom xmlns:a="http://schemas.openxmlformats.org/drawingml/2006/main" prst="ellipse">
          <a:avLst/>
        </a:prstGeom>
        <a:ln xmlns:a="http://schemas.openxmlformats.org/drawingml/2006/main"/>
      </cdr:spPr>
      <cdr:style>
        <a:lnRef xmlns:a="http://schemas.openxmlformats.org/drawingml/2006/main" idx="0">
          <a:schemeClr val="dk1"/>
        </a:lnRef>
        <a:fillRef xmlns:a="http://schemas.openxmlformats.org/drawingml/2006/main" idx="3">
          <a:schemeClr val="dk1"/>
        </a:fillRef>
        <a:effectRef xmlns:a="http://schemas.openxmlformats.org/drawingml/2006/main" idx="3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fld id="{5D168E37-9684-4B02-9850-CAD179EA06A9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56%</a:t>
          </a:fld>
          <a:endParaRPr lang="es-PE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0.01164</cdr:x>
      <cdr:y>0.80147</cdr:y>
    </cdr:from>
    <cdr:to>
      <cdr:x>0.98602</cdr:x>
      <cdr:y>0.96324</cdr:y>
    </cdr:to>
    <cdr:sp macro="" textlink="">
      <cdr:nvSpPr>
        <cdr:cNvPr id="5" name="Rectángulo 4"/>
        <cdr:cNvSpPr/>
      </cdr:nvSpPr>
      <cdr:spPr>
        <a:xfrm xmlns:a="http://schemas.openxmlformats.org/drawingml/2006/main">
          <a:off x="43296" y="2076448"/>
          <a:ext cx="3622953" cy="4191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s-PE" sz="1400" b="1"/>
            <a:t>AVANCE</a:t>
          </a:r>
          <a:r>
            <a:rPr lang="es-PE" sz="1400" b="1" baseline="0"/>
            <a:t> CON RESPECTO AL MÍNIMO ANUAL</a:t>
          </a:r>
          <a:endParaRPr lang="es-PE" sz="1400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0.77604</cdr:x>
      <cdr:y>0.51324</cdr:y>
    </cdr:from>
    <cdr:to>
      <cdr:x>0.92451</cdr:x>
      <cdr:y>0.60127</cdr:y>
    </cdr:to>
    <cdr:sp macro="" textlink="">
      <cdr:nvSpPr>
        <cdr:cNvPr id="2" name="Rectángulo 1"/>
        <cdr:cNvSpPr/>
      </cdr:nvSpPr>
      <cdr:spPr>
        <a:xfrm xmlns:a="http://schemas.openxmlformats.org/drawingml/2006/main">
          <a:off x="2670462" y="1329705"/>
          <a:ext cx="510887" cy="22806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s-PE" b="1"/>
            <a:t>100%</a:t>
          </a:r>
        </a:p>
      </cdr:txBody>
    </cdr:sp>
  </cdr:relSizeAnchor>
  <cdr:relSizeAnchor xmlns:cdr="http://schemas.openxmlformats.org/drawingml/2006/chartDrawing">
    <cdr:from>
      <cdr:x>0.00792</cdr:x>
      <cdr:y>0.79813</cdr:y>
    </cdr:from>
    <cdr:to>
      <cdr:x>1</cdr:x>
      <cdr:y>0.9599</cdr:y>
    </cdr:to>
    <cdr:sp macro="" textlink="">
      <cdr:nvSpPr>
        <cdr:cNvPr id="5" name="Rectángulo 4"/>
        <cdr:cNvSpPr/>
      </cdr:nvSpPr>
      <cdr:spPr>
        <a:xfrm xmlns:a="http://schemas.openxmlformats.org/drawingml/2006/main">
          <a:off x="29448" y="2067789"/>
          <a:ext cx="3688766" cy="419114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s-PE" sz="1400" b="1"/>
            <a:t>AVANCE</a:t>
          </a:r>
          <a:r>
            <a:rPr lang="es-PE" sz="1400" b="1" baseline="0"/>
            <a:t> CON RESPECTO AL MÁXIMO  ANUAL</a:t>
          </a:r>
          <a:endParaRPr lang="es-PE" sz="1400" b="1"/>
        </a:p>
      </cdr:txBody>
    </cdr:sp>
  </cdr:relSizeAnchor>
  <cdr:relSizeAnchor xmlns:cdr="http://schemas.openxmlformats.org/drawingml/2006/chartDrawing">
    <cdr:from>
      <cdr:x>0.42121</cdr:x>
      <cdr:y>0.61787</cdr:y>
    </cdr:from>
    <cdr:to>
      <cdr:x>0.61118</cdr:x>
      <cdr:y>0.80366</cdr:y>
    </cdr:to>
    <cdr:sp macro="" textlink="Objetivos!$G$67">
      <cdr:nvSpPr>
        <cdr:cNvPr id="7" name="Elipse 6">
          <a:extLst xmlns:a="http://schemas.openxmlformats.org/drawingml/2006/main">
            <a:ext uri="{FF2B5EF4-FFF2-40B4-BE49-F238E27FC236}">
              <a16:creationId xmlns:a16="http://schemas.microsoft.com/office/drawing/2014/main" id="{5EA3C042-26CE-4EC6-8EF4-C840A721FFD5}"/>
            </a:ext>
          </a:extLst>
        </cdr:cNvPr>
        <cdr:cNvSpPr/>
      </cdr:nvSpPr>
      <cdr:spPr>
        <a:xfrm xmlns:a="http://schemas.openxmlformats.org/drawingml/2006/main">
          <a:off x="1566141" y="1600777"/>
          <a:ext cx="706349" cy="481345"/>
        </a:xfrm>
        <a:prstGeom xmlns:a="http://schemas.openxmlformats.org/drawingml/2006/main" prst="ellipse">
          <a:avLst/>
        </a:prstGeom>
        <a:ln xmlns:a="http://schemas.openxmlformats.org/drawingml/2006/main"/>
      </cdr:spPr>
      <cdr:style>
        <a:lnRef xmlns:a="http://schemas.openxmlformats.org/drawingml/2006/main" idx="0">
          <a:schemeClr val="dk1"/>
        </a:lnRef>
        <a:fillRef xmlns:a="http://schemas.openxmlformats.org/drawingml/2006/main" idx="3">
          <a:schemeClr val="dk1"/>
        </a:fillRef>
        <a:effectRef xmlns:a="http://schemas.openxmlformats.org/drawingml/2006/main" idx="3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4931EE0-3774-4A71-BB5F-F75C37CCD33D}" type="TxLink">
            <a:rPr lang="en-US" sz="1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54%</a:t>
          </a:fld>
          <a:endParaRPr lang="es-PE" b="1">
            <a:solidFill>
              <a:schemeClr val="bg1"/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36</xdr:row>
      <xdr:rowOff>0</xdr:rowOff>
    </xdr:from>
    <xdr:to>
      <xdr:col>15</xdr:col>
      <xdr:colOff>600075</xdr:colOff>
      <xdr:row>53</xdr:row>
      <xdr:rowOff>114300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95249</xdr:colOff>
      <xdr:row>0</xdr:row>
      <xdr:rowOff>85725</xdr:rowOff>
    </xdr:from>
    <xdr:to>
      <xdr:col>17</xdr:col>
      <xdr:colOff>752474</xdr:colOff>
      <xdr:row>14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85724</xdr:colOff>
      <xdr:row>15</xdr:row>
      <xdr:rowOff>76200</xdr:rowOff>
    </xdr:from>
    <xdr:to>
      <xdr:col>17</xdr:col>
      <xdr:colOff>761999</xdr:colOff>
      <xdr:row>29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27</xdr:row>
      <xdr:rowOff>104775</xdr:rowOff>
    </xdr:from>
    <xdr:to>
      <xdr:col>6</xdr:col>
      <xdr:colOff>495300</xdr:colOff>
      <xdr:row>41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761999</xdr:colOff>
      <xdr:row>31</xdr:row>
      <xdr:rowOff>0</xdr:rowOff>
    </xdr:from>
    <xdr:to>
      <xdr:col>17</xdr:col>
      <xdr:colOff>733424</xdr:colOff>
      <xdr:row>45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3"/>
  <sheetViews>
    <sheetView zoomScaleNormal="100" workbookViewId="0">
      <pane ySplit="2" topLeftCell="A21" activePane="bottomLeft" state="frozen"/>
      <selection pane="bottomLeft" activeCell="D28" sqref="D28"/>
    </sheetView>
  </sheetViews>
  <sheetFormatPr baseColWidth="10" defaultRowHeight="15" x14ac:dyDescent="0.25"/>
  <cols>
    <col min="1" max="1" width="20.85546875" customWidth="1"/>
    <col min="2" max="2" width="12" customWidth="1"/>
    <col min="3" max="3" width="14.7109375" customWidth="1"/>
    <col min="4" max="4" width="37.140625" customWidth="1"/>
    <col min="5" max="5" width="10.5703125" style="5" customWidth="1"/>
    <col min="6" max="6" width="10.42578125" style="5" customWidth="1"/>
    <col min="7" max="8" width="14.140625" style="8" customWidth="1"/>
    <col min="9" max="9" width="13" style="8" customWidth="1"/>
    <col min="10" max="10" width="13.42578125" style="8" customWidth="1"/>
    <col min="11" max="11" width="11.42578125" style="8"/>
    <col min="12" max="12" width="17" style="8" customWidth="1"/>
    <col min="13" max="13" width="14.7109375" customWidth="1"/>
    <col min="14" max="14" width="18.42578125" customWidth="1"/>
    <col min="15" max="15" width="17.7109375" customWidth="1"/>
    <col min="16" max="16" width="10.7109375" customWidth="1"/>
  </cols>
  <sheetData>
    <row r="1" spans="1:16" ht="19.5" thickBot="1" x14ac:dyDescent="0.35">
      <c r="A1" s="154" t="s">
        <v>128</v>
      </c>
      <c r="B1" s="154"/>
      <c r="C1" s="154"/>
      <c r="D1" s="154"/>
      <c r="E1" s="31"/>
      <c r="F1" s="31"/>
      <c r="G1" s="31"/>
      <c r="H1" s="19"/>
      <c r="I1" s="19"/>
      <c r="J1" s="19"/>
      <c r="K1" s="19"/>
      <c r="L1" s="30"/>
    </row>
    <row r="2" spans="1:16" ht="36" customHeight="1" thickBot="1" x14ac:dyDescent="0.3">
      <c r="A2" s="55" t="s">
        <v>4</v>
      </c>
      <c r="B2" s="1" t="s">
        <v>0</v>
      </c>
      <c r="C2" s="2" t="s">
        <v>9</v>
      </c>
      <c r="D2" s="2" t="s">
        <v>1</v>
      </c>
      <c r="E2" s="3" t="s">
        <v>5</v>
      </c>
      <c r="F2" s="4" t="s">
        <v>6</v>
      </c>
      <c r="G2" s="6" t="s">
        <v>2</v>
      </c>
      <c r="H2" s="6" t="s">
        <v>7</v>
      </c>
      <c r="I2" s="6" t="s">
        <v>57</v>
      </c>
      <c r="J2" s="13" t="s">
        <v>13</v>
      </c>
      <c r="K2" s="7" t="s">
        <v>3</v>
      </c>
      <c r="L2" s="7" t="s">
        <v>116</v>
      </c>
      <c r="N2" s="9">
        <f>SUM(G:G)</f>
        <v>1144091.1100000001</v>
      </c>
      <c r="P2" s="11">
        <f>COUNTA(A3:A444)</f>
        <v>31</v>
      </c>
    </row>
    <row r="3" spans="1:16" ht="15" customHeight="1" x14ac:dyDescent="0.25">
      <c r="A3" t="s">
        <v>222</v>
      </c>
      <c r="B3" s="96" t="s">
        <v>204</v>
      </c>
      <c r="C3" t="s">
        <v>223</v>
      </c>
      <c r="D3" t="s">
        <v>224</v>
      </c>
      <c r="E3" s="32">
        <v>46023</v>
      </c>
      <c r="F3" s="32">
        <v>46387</v>
      </c>
      <c r="G3" s="135">
        <v>521378.4</v>
      </c>
      <c r="H3" s="8">
        <f>9554.04+210078.24</f>
        <v>219632.28</v>
      </c>
      <c r="I3" s="8">
        <v>237615</v>
      </c>
      <c r="J3" s="8">
        <v>8497.82</v>
      </c>
      <c r="K3" s="8">
        <v>55633.3</v>
      </c>
      <c r="L3" s="8" t="s">
        <v>225</v>
      </c>
      <c r="M3" s="15" t="s">
        <v>14</v>
      </c>
      <c r="N3" s="11" t="s">
        <v>15</v>
      </c>
      <c r="O3" s="15" t="s">
        <v>14</v>
      </c>
      <c r="P3" s="11" t="s">
        <v>27</v>
      </c>
    </row>
    <row r="4" spans="1:16" x14ac:dyDescent="0.25">
      <c r="A4" t="s">
        <v>232</v>
      </c>
      <c r="B4" t="s">
        <v>10</v>
      </c>
      <c r="C4">
        <v>5000</v>
      </c>
      <c r="D4" t="s">
        <v>233</v>
      </c>
      <c r="E4" s="32">
        <v>46020</v>
      </c>
      <c r="F4" s="32">
        <v>45682</v>
      </c>
      <c r="G4" s="135">
        <v>1992.68</v>
      </c>
      <c r="H4" s="8">
        <v>644</v>
      </c>
      <c r="I4" s="8">
        <v>1123.9000000000001</v>
      </c>
      <c r="J4" s="8">
        <v>0</v>
      </c>
      <c r="K4" s="8">
        <v>224.78</v>
      </c>
      <c r="L4" s="8" t="s">
        <v>225</v>
      </c>
      <c r="M4" s="17" t="s">
        <v>204</v>
      </c>
      <c r="N4" s="12">
        <f>SUMIF(B:B,"quellaveco",G:G)</f>
        <v>523040.49000000005</v>
      </c>
      <c r="O4" s="143" t="s">
        <v>78</v>
      </c>
      <c r="P4">
        <f>COUNTIF(B:B,"Las bambas")</f>
        <v>5</v>
      </c>
    </row>
    <row r="5" spans="1:16" x14ac:dyDescent="0.25">
      <c r="A5" t="s">
        <v>238</v>
      </c>
      <c r="B5" t="s">
        <v>10</v>
      </c>
      <c r="D5" t="s">
        <v>239</v>
      </c>
      <c r="E5" s="32">
        <v>46034</v>
      </c>
      <c r="F5" s="32">
        <v>46037</v>
      </c>
      <c r="G5" s="135">
        <v>552.67999999999995</v>
      </c>
      <c r="H5" s="147">
        <v>552.67999999999995</v>
      </c>
      <c r="I5" s="8">
        <v>0</v>
      </c>
      <c r="J5" s="8">
        <v>0</v>
      </c>
      <c r="K5" s="8">
        <v>0</v>
      </c>
      <c r="L5" s="8" t="s">
        <v>225</v>
      </c>
      <c r="M5" s="10" t="s">
        <v>40</v>
      </c>
      <c r="N5" s="12">
        <f>SUMIF(B:B,"Southern",G:G)</f>
        <v>316454.67</v>
      </c>
      <c r="O5" s="143" t="s">
        <v>40</v>
      </c>
      <c r="P5">
        <f>COUNTIF(B:B,"Southern")</f>
        <v>7</v>
      </c>
    </row>
    <row r="6" spans="1:16" x14ac:dyDescent="0.25">
      <c r="A6" t="s">
        <v>247</v>
      </c>
      <c r="B6" t="s">
        <v>218</v>
      </c>
      <c r="C6">
        <v>49857</v>
      </c>
      <c r="D6" t="s">
        <v>248</v>
      </c>
      <c r="E6" s="32">
        <v>46048</v>
      </c>
      <c r="F6" s="32">
        <v>46106</v>
      </c>
      <c r="G6" s="135">
        <v>29680</v>
      </c>
      <c r="H6" s="8">
        <v>26500</v>
      </c>
      <c r="I6" s="8">
        <v>0</v>
      </c>
      <c r="J6" s="8">
        <v>0</v>
      </c>
      <c r="K6" s="8">
        <v>3180</v>
      </c>
      <c r="L6" s="8" t="s">
        <v>225</v>
      </c>
      <c r="M6" s="17" t="s">
        <v>218</v>
      </c>
      <c r="N6" s="12">
        <f>SUMIF(B:B,"shahuindo",G:G)</f>
        <v>74200</v>
      </c>
      <c r="O6" s="143" t="s">
        <v>204</v>
      </c>
      <c r="P6">
        <f>COUNTIF(B:B,"Quellaveco")</f>
        <v>2</v>
      </c>
    </row>
    <row r="7" spans="1:16" x14ac:dyDescent="0.25">
      <c r="A7" t="s">
        <v>249</v>
      </c>
      <c r="B7" t="s">
        <v>78</v>
      </c>
      <c r="C7" s="10">
        <v>4400669247</v>
      </c>
      <c r="D7" t="s">
        <v>250</v>
      </c>
      <c r="E7" s="32">
        <v>46051</v>
      </c>
      <c r="F7" s="32">
        <v>46058</v>
      </c>
      <c r="G7" s="114">
        <v>1787.49</v>
      </c>
      <c r="H7" s="8">
        <v>1191.6600000000001</v>
      </c>
      <c r="I7" s="8">
        <v>0</v>
      </c>
      <c r="J7" s="8">
        <v>0</v>
      </c>
      <c r="K7" s="8">
        <v>595.83000000000004</v>
      </c>
      <c r="L7" s="8" t="s">
        <v>231</v>
      </c>
      <c r="M7" s="17" t="s">
        <v>78</v>
      </c>
      <c r="N7" s="12">
        <f>SUMIF(B:B,"Las bambas",G:G)</f>
        <v>7915.0400000000009</v>
      </c>
      <c r="O7" s="143" t="s">
        <v>195</v>
      </c>
      <c r="P7">
        <f>COUNTIF(B:B,"Yura")</f>
        <v>2</v>
      </c>
    </row>
    <row r="8" spans="1:16" x14ac:dyDescent="0.25">
      <c r="A8" t="s">
        <v>251</v>
      </c>
      <c r="B8" t="s">
        <v>252</v>
      </c>
      <c r="C8">
        <v>4100790414</v>
      </c>
      <c r="D8" t="s">
        <v>253</v>
      </c>
      <c r="E8" s="32">
        <v>46055</v>
      </c>
      <c r="F8" s="32">
        <v>46126</v>
      </c>
      <c r="G8" s="114">
        <v>12783.94</v>
      </c>
      <c r="H8" s="8">
        <v>11161.28</v>
      </c>
      <c r="I8" s="8">
        <v>0</v>
      </c>
      <c r="J8" s="8">
        <v>0</v>
      </c>
      <c r="K8" s="8">
        <v>1622.66</v>
      </c>
      <c r="L8" s="8" t="s">
        <v>225</v>
      </c>
      <c r="M8" s="17" t="s">
        <v>52</v>
      </c>
      <c r="N8" s="12">
        <f>SUMIF(B:B,"Shougang",G:G)</f>
        <v>0</v>
      </c>
      <c r="O8" s="143" t="s">
        <v>10</v>
      </c>
      <c r="P8">
        <f>COUNTIF(B:B,"precisión")</f>
        <v>6</v>
      </c>
    </row>
    <row r="9" spans="1:16" x14ac:dyDescent="0.25">
      <c r="A9" t="s">
        <v>254</v>
      </c>
      <c r="B9" t="s">
        <v>252</v>
      </c>
      <c r="C9">
        <v>4100791028</v>
      </c>
      <c r="D9" t="s">
        <v>255</v>
      </c>
      <c r="E9" s="32">
        <v>46056</v>
      </c>
      <c r="F9" s="32">
        <v>46062</v>
      </c>
      <c r="G9" s="135">
        <v>5644.8</v>
      </c>
      <c r="H9" s="8">
        <f>840+4004</f>
        <v>4844</v>
      </c>
      <c r="I9" s="8">
        <v>0</v>
      </c>
      <c r="J9" s="8">
        <v>0</v>
      </c>
      <c r="K9" s="8">
        <v>800.8</v>
      </c>
      <c r="L9" s="8" t="s">
        <v>237</v>
      </c>
      <c r="M9" s="10" t="s">
        <v>153</v>
      </c>
      <c r="N9" s="12">
        <f>SUMIF(B:B,"andalucita",G:G)</f>
        <v>0</v>
      </c>
      <c r="O9" s="143" t="s">
        <v>52</v>
      </c>
      <c r="P9">
        <f>COUNTIF(B:B,"Shougang")</f>
        <v>0</v>
      </c>
    </row>
    <row r="10" spans="1:16" x14ac:dyDescent="0.25">
      <c r="A10" t="s">
        <v>262</v>
      </c>
      <c r="B10" t="s">
        <v>252</v>
      </c>
      <c r="C10">
        <v>4100792483</v>
      </c>
      <c r="D10" t="s">
        <v>263</v>
      </c>
      <c r="E10" s="32">
        <v>46063</v>
      </c>
      <c r="F10" s="32">
        <v>46083</v>
      </c>
      <c r="G10" s="135">
        <v>2272.58</v>
      </c>
      <c r="H10" s="8">
        <v>1976.16</v>
      </c>
      <c r="I10" s="8">
        <v>0</v>
      </c>
      <c r="J10" s="8">
        <v>0</v>
      </c>
      <c r="K10" s="8">
        <v>296.42</v>
      </c>
      <c r="L10" s="8" t="s">
        <v>237</v>
      </c>
      <c r="M10" s="17" t="s">
        <v>195</v>
      </c>
      <c r="N10" s="12">
        <f>SUMIF(B:B,"yura",G:G)</f>
        <v>116600.98999999999</v>
      </c>
      <c r="O10" s="143" t="s">
        <v>153</v>
      </c>
      <c r="P10">
        <f>COUNTIF(B:B,"andalucita")</f>
        <v>0</v>
      </c>
    </row>
    <row r="11" spans="1:16" x14ac:dyDescent="0.25">
      <c r="A11" s="63" t="s">
        <v>267</v>
      </c>
      <c r="B11" t="s">
        <v>268</v>
      </c>
      <c r="C11">
        <v>3003201873</v>
      </c>
      <c r="D11" t="s">
        <v>269</v>
      </c>
      <c r="E11" s="32">
        <v>46069</v>
      </c>
      <c r="F11" s="32">
        <v>46092</v>
      </c>
      <c r="G11" s="135">
        <v>14658</v>
      </c>
      <c r="H11" s="8">
        <v>0</v>
      </c>
      <c r="I11" s="8">
        <v>13230</v>
      </c>
      <c r="J11" s="8">
        <v>0</v>
      </c>
      <c r="K11" s="8">
        <v>1428</v>
      </c>
      <c r="L11" s="8" t="s">
        <v>225</v>
      </c>
      <c r="M11" s="17" t="s">
        <v>76</v>
      </c>
      <c r="N11" s="12">
        <f>SUMIF(B:B,"la arena",G:G)</f>
        <v>0</v>
      </c>
      <c r="O11" s="143" t="s">
        <v>76</v>
      </c>
      <c r="P11">
        <f>COUNTIF(B:B,"la arena")</f>
        <v>0</v>
      </c>
    </row>
    <row r="12" spans="1:16" x14ac:dyDescent="0.25">
      <c r="A12" t="s">
        <v>270</v>
      </c>
      <c r="B12" t="s">
        <v>268</v>
      </c>
      <c r="C12">
        <v>3003205374</v>
      </c>
      <c r="D12" t="s">
        <v>271</v>
      </c>
      <c r="E12" s="32">
        <v>46069</v>
      </c>
      <c r="F12" s="32">
        <v>46130</v>
      </c>
      <c r="G12" s="135">
        <v>7260</v>
      </c>
      <c r="H12" s="8">
        <v>0</v>
      </c>
      <c r="I12" s="8">
        <v>6600</v>
      </c>
      <c r="J12" s="8">
        <v>0</v>
      </c>
      <c r="K12" s="8">
        <v>660</v>
      </c>
      <c r="L12" s="8" t="s">
        <v>225</v>
      </c>
      <c r="M12" s="17" t="s">
        <v>10</v>
      </c>
      <c r="N12" s="12">
        <f>SUMIF(B:B,"precisión",G:G)</f>
        <v>18613.920000000002</v>
      </c>
      <c r="O12" s="143" t="s">
        <v>218</v>
      </c>
      <c r="P12">
        <f>COUNTIF(B:B,"shahuindo")</f>
        <v>3</v>
      </c>
    </row>
    <row r="13" spans="1:16" x14ac:dyDescent="0.25">
      <c r="A13" t="s">
        <v>272</v>
      </c>
      <c r="B13" t="s">
        <v>78</v>
      </c>
      <c r="C13">
        <v>4400672314</v>
      </c>
      <c r="D13" t="s">
        <v>273</v>
      </c>
      <c r="E13" s="32">
        <v>46071</v>
      </c>
      <c r="F13" s="32">
        <v>46074</v>
      </c>
      <c r="G13" s="135">
        <v>329.97</v>
      </c>
      <c r="H13" s="8">
        <v>213.81</v>
      </c>
      <c r="I13" s="8">
        <v>0</v>
      </c>
      <c r="J13" s="8">
        <v>0</v>
      </c>
      <c r="K13" s="8">
        <v>116.16</v>
      </c>
      <c r="L13" s="8" t="s">
        <v>237</v>
      </c>
      <c r="M13" s="17" t="s">
        <v>77</v>
      </c>
      <c r="N13" s="12">
        <f>SUMIF(B:B,"Antapacay",G:G)</f>
        <v>0</v>
      </c>
      <c r="O13" s="10" t="s">
        <v>210</v>
      </c>
      <c r="P13">
        <f>COUNTIF(B:B,"marcobre")</f>
        <v>2</v>
      </c>
    </row>
    <row r="14" spans="1:16" x14ac:dyDescent="0.25">
      <c r="A14" t="s">
        <v>276</v>
      </c>
      <c r="B14" t="s">
        <v>218</v>
      </c>
      <c r="C14">
        <v>50167</v>
      </c>
      <c r="D14" t="s">
        <v>277</v>
      </c>
      <c r="E14" s="32">
        <v>46076</v>
      </c>
      <c r="F14" s="32">
        <v>46136</v>
      </c>
      <c r="G14" s="135">
        <v>35616</v>
      </c>
      <c r="H14" s="8">
        <v>31800</v>
      </c>
      <c r="I14" s="8">
        <v>0</v>
      </c>
      <c r="J14" s="8">
        <v>0</v>
      </c>
      <c r="K14" s="8">
        <v>3816</v>
      </c>
      <c r="L14" s="8" t="s">
        <v>225</v>
      </c>
      <c r="M14" s="17" t="s">
        <v>210</v>
      </c>
      <c r="N14" s="12">
        <f>SUMIF(B:B,"marcobre",G:G)</f>
        <v>37528</v>
      </c>
      <c r="O14" s="10" t="s">
        <v>209</v>
      </c>
      <c r="P14">
        <f>COUNTIF(B:B,"sihi")</f>
        <v>0</v>
      </c>
    </row>
    <row r="15" spans="1:16" x14ac:dyDescent="0.25">
      <c r="A15" t="s">
        <v>283</v>
      </c>
      <c r="B15" t="s">
        <v>78</v>
      </c>
      <c r="C15">
        <v>4400675551</v>
      </c>
      <c r="D15" t="s">
        <v>284</v>
      </c>
      <c r="E15" s="32">
        <v>46094</v>
      </c>
      <c r="F15" s="32">
        <v>46127</v>
      </c>
      <c r="G15" s="135">
        <v>1811.15</v>
      </c>
      <c r="H15" s="8">
        <v>1509.29</v>
      </c>
      <c r="I15" s="8">
        <v>0</v>
      </c>
      <c r="J15" s="8">
        <v>0</v>
      </c>
      <c r="K15" s="8">
        <v>301.86</v>
      </c>
      <c r="L15" s="8" t="s">
        <v>237</v>
      </c>
      <c r="M15" s="17" t="s">
        <v>199</v>
      </c>
      <c r="N15" s="12">
        <f>SUMIF(B:B,"volcan",G:G)</f>
        <v>0</v>
      </c>
      <c r="O15" s="10" t="s">
        <v>68</v>
      </c>
      <c r="P15">
        <f>COUNTIF(B:B,"gloria")</f>
        <v>0</v>
      </c>
    </row>
    <row r="16" spans="1:16" x14ac:dyDescent="0.25">
      <c r="A16" t="s">
        <v>291</v>
      </c>
      <c r="B16" t="s">
        <v>10</v>
      </c>
      <c r="D16" t="s">
        <v>292</v>
      </c>
      <c r="E16" s="32">
        <v>46104</v>
      </c>
      <c r="F16" s="32">
        <v>46130</v>
      </c>
      <c r="G16" s="135">
        <v>7397.4</v>
      </c>
      <c r="H16" s="8">
        <v>3306</v>
      </c>
      <c r="I16" s="8">
        <v>3409.5</v>
      </c>
      <c r="J16" s="8">
        <v>0</v>
      </c>
      <c r="K16" s="8">
        <v>681.9</v>
      </c>
      <c r="L16" s="8" t="s">
        <v>225</v>
      </c>
      <c r="M16" s="17" t="s">
        <v>161</v>
      </c>
      <c r="N16" s="12">
        <f>SUMIF(B:B,"alpayana",G:G)</f>
        <v>0</v>
      </c>
      <c r="O16" s="10" t="s">
        <v>152</v>
      </c>
      <c r="P16">
        <f>COUNTIF(B:B,"chinalco")</f>
        <v>0</v>
      </c>
    </row>
    <row r="17" spans="1:16" x14ac:dyDescent="0.25">
      <c r="A17" t="s">
        <v>293</v>
      </c>
      <c r="B17" t="s">
        <v>252</v>
      </c>
      <c r="C17">
        <v>4100801979</v>
      </c>
      <c r="D17" t="s">
        <v>294</v>
      </c>
      <c r="E17" s="32">
        <v>46104</v>
      </c>
      <c r="F17" s="32">
        <v>46240</v>
      </c>
      <c r="G17" s="135">
        <v>10407.35</v>
      </c>
      <c r="H17" s="8">
        <f>7341.06+800</f>
        <v>8141.06</v>
      </c>
      <c r="I17" s="8">
        <v>901.7</v>
      </c>
      <c r="J17" s="8">
        <v>72</v>
      </c>
      <c r="K17" s="8">
        <v>1292.5899999999999</v>
      </c>
      <c r="L17" s="8" t="s">
        <v>231</v>
      </c>
      <c r="M17" s="17" t="s">
        <v>216</v>
      </c>
      <c r="N17" s="12">
        <f>SUMIF(B:B,"suez",G:G)</f>
        <v>0</v>
      </c>
      <c r="O17" s="10" t="s">
        <v>194</v>
      </c>
      <c r="P17">
        <f>COUNTIF(B:B,"Chaglla")</f>
        <v>0</v>
      </c>
    </row>
    <row r="18" spans="1:16" x14ac:dyDescent="0.25">
      <c r="A18" t="s">
        <v>295</v>
      </c>
      <c r="B18" t="s">
        <v>195</v>
      </c>
      <c r="D18" t="s">
        <v>296</v>
      </c>
      <c r="E18" s="32">
        <v>46112</v>
      </c>
      <c r="F18" s="32">
        <v>46217</v>
      </c>
      <c r="G18" s="135">
        <v>68932.009999999995</v>
      </c>
      <c r="H18" s="8">
        <f>53127.83+1800</f>
        <v>54927.83</v>
      </c>
      <c r="I18" s="8">
        <v>2805.1</v>
      </c>
      <c r="J18" s="8">
        <v>844</v>
      </c>
      <c r="K18" s="8">
        <v>10355.08</v>
      </c>
      <c r="L18" s="8" t="s">
        <v>231</v>
      </c>
      <c r="M18" s="10" t="s">
        <v>201</v>
      </c>
      <c r="N18" s="12">
        <f>SUMIF(B:B,"Peru Process",G:G)</f>
        <v>0</v>
      </c>
      <c r="O18" s="10" t="s">
        <v>77</v>
      </c>
      <c r="P18">
        <f>COUNTIF(B:B,"Antapacay")</f>
        <v>0</v>
      </c>
    </row>
    <row r="19" spans="1:16" x14ac:dyDescent="0.25">
      <c r="A19" t="s">
        <v>297</v>
      </c>
      <c r="B19" t="s">
        <v>210</v>
      </c>
      <c r="C19">
        <v>7700015783</v>
      </c>
      <c r="D19" t="s">
        <v>298</v>
      </c>
      <c r="E19" s="32">
        <v>46119</v>
      </c>
      <c r="F19" s="32">
        <v>46140</v>
      </c>
      <c r="G19" s="135">
        <v>34672</v>
      </c>
      <c r="H19" s="8">
        <v>24640</v>
      </c>
      <c r="I19" s="8">
        <v>8460</v>
      </c>
      <c r="J19" s="8">
        <v>0</v>
      </c>
      <c r="K19" s="8">
        <v>1572</v>
      </c>
      <c r="L19" s="8" t="s">
        <v>225</v>
      </c>
      <c r="M19" s="17" t="s">
        <v>194</v>
      </c>
      <c r="N19" s="12">
        <f>SUMIF(B:B,"chaglla",G:G)</f>
        <v>0</v>
      </c>
      <c r="O19" s="10" t="s">
        <v>201</v>
      </c>
      <c r="P19">
        <f>COUNTIF(B:B,"peru process")</f>
        <v>0</v>
      </c>
    </row>
    <row r="20" spans="1:16" x14ac:dyDescent="0.25">
      <c r="A20" t="s">
        <v>301</v>
      </c>
      <c r="B20" t="s">
        <v>204</v>
      </c>
      <c r="C20">
        <v>4504223915</v>
      </c>
      <c r="D20" t="s">
        <v>302</v>
      </c>
      <c r="E20" s="32">
        <v>46121</v>
      </c>
      <c r="F20" s="32">
        <v>46134</v>
      </c>
      <c r="G20" s="135">
        <v>1662.09</v>
      </c>
      <c r="H20" s="8">
        <v>1231.18</v>
      </c>
      <c r="I20" s="8">
        <v>0</v>
      </c>
      <c r="J20" s="8">
        <v>0</v>
      </c>
      <c r="K20" s="8">
        <v>430.91</v>
      </c>
      <c r="L20" s="8" t="s">
        <v>225</v>
      </c>
      <c r="M20" s="17" t="s">
        <v>152</v>
      </c>
      <c r="N20" s="12">
        <f>SUMIF(B:B,"chinalco",G:G)</f>
        <v>0</v>
      </c>
      <c r="O20" s="10" t="s">
        <v>216</v>
      </c>
      <c r="P20">
        <f>COUNTIF(B:B,"suez")</f>
        <v>0</v>
      </c>
    </row>
    <row r="21" spans="1:16" x14ac:dyDescent="0.25">
      <c r="A21" t="s">
        <v>303</v>
      </c>
      <c r="B21" t="s">
        <v>218</v>
      </c>
      <c r="C21">
        <v>51014</v>
      </c>
      <c r="D21" t="s">
        <v>304</v>
      </c>
      <c r="E21" s="32">
        <v>46148</v>
      </c>
      <c r="F21" s="32">
        <v>46188</v>
      </c>
      <c r="G21" s="135">
        <v>8904</v>
      </c>
      <c r="H21" s="8">
        <v>7950</v>
      </c>
      <c r="I21" s="8">
        <v>0</v>
      </c>
      <c r="J21" s="8">
        <v>0</v>
      </c>
      <c r="K21" s="8">
        <v>954</v>
      </c>
      <c r="L21" s="8" t="s">
        <v>225</v>
      </c>
      <c r="M21" s="17" t="s">
        <v>146</v>
      </c>
      <c r="N21" s="12">
        <f>SUMIF(B:B,"enaex",G:G)</f>
        <v>0</v>
      </c>
      <c r="O21" s="10" t="s">
        <v>196</v>
      </c>
      <c r="P21">
        <f>COUNTIF(B:B,"tenova")</f>
        <v>0</v>
      </c>
    </row>
    <row r="22" spans="1:16" x14ac:dyDescent="0.25">
      <c r="A22" t="s">
        <v>305</v>
      </c>
      <c r="B22" t="s">
        <v>210</v>
      </c>
      <c r="D22" t="s">
        <v>306</v>
      </c>
      <c r="E22" s="32">
        <v>46148</v>
      </c>
      <c r="F22" s="32">
        <v>46218</v>
      </c>
      <c r="G22" s="135">
        <v>2856</v>
      </c>
      <c r="H22" s="8">
        <v>2856</v>
      </c>
      <c r="I22" s="8">
        <v>0</v>
      </c>
      <c r="J22" s="8">
        <v>0</v>
      </c>
      <c r="K22" s="8">
        <v>0</v>
      </c>
      <c r="L22" s="8" t="s">
        <v>225</v>
      </c>
      <c r="M22" s="17" t="s">
        <v>162</v>
      </c>
      <c r="N22" s="12">
        <f>SUMIF(B:B,"Flotweg",G:G)</f>
        <v>0</v>
      </c>
      <c r="O22" s="10" t="s">
        <v>146</v>
      </c>
      <c r="P22">
        <f>COUNTIF(B:B,"Enaex")</f>
        <v>0</v>
      </c>
    </row>
    <row r="23" spans="1:16" x14ac:dyDescent="0.25">
      <c r="A23" t="s">
        <v>307</v>
      </c>
      <c r="B23" t="s">
        <v>308</v>
      </c>
      <c r="D23" t="s">
        <v>309</v>
      </c>
      <c r="E23" s="32">
        <v>46167</v>
      </c>
      <c r="F23" s="32">
        <v>46275</v>
      </c>
      <c r="G23" s="135">
        <v>18140</v>
      </c>
      <c r="H23" s="8">
        <v>9740</v>
      </c>
      <c r="I23" s="8">
        <v>8400</v>
      </c>
      <c r="J23" s="8">
        <v>0</v>
      </c>
      <c r="K23" s="8">
        <v>0</v>
      </c>
      <c r="L23" s="8" t="s">
        <v>225</v>
      </c>
      <c r="M23" s="17" t="s">
        <v>138</v>
      </c>
      <c r="N23" s="12">
        <f>SUMIF(B:B,"nexa",G:G)</f>
        <v>0</v>
      </c>
      <c r="O23" s="10" t="s">
        <v>138</v>
      </c>
      <c r="P23">
        <f>COUNTIF(B:B,"nexa")</f>
        <v>0</v>
      </c>
    </row>
    <row r="24" spans="1:16" x14ac:dyDescent="0.25">
      <c r="A24" t="s">
        <v>310</v>
      </c>
      <c r="B24" t="s">
        <v>10</v>
      </c>
      <c r="D24" t="s">
        <v>311</v>
      </c>
      <c r="E24" s="32">
        <v>46169</v>
      </c>
      <c r="F24" s="32">
        <v>46185</v>
      </c>
      <c r="G24" s="135">
        <v>2487.12</v>
      </c>
      <c r="H24" s="8">
        <v>1848</v>
      </c>
      <c r="I24" s="8">
        <v>532.6</v>
      </c>
      <c r="J24" s="8">
        <v>0</v>
      </c>
      <c r="K24" s="8">
        <v>106.52</v>
      </c>
      <c r="L24" s="8" t="s">
        <v>225</v>
      </c>
      <c r="M24" s="17" t="s">
        <v>196</v>
      </c>
      <c r="N24" s="12">
        <f>SUMIF(B:B,"tenova",G:G)</f>
        <v>0</v>
      </c>
      <c r="O24" s="113" t="s">
        <v>162</v>
      </c>
      <c r="P24">
        <f>COUNTIF(B:B,"flotweg")</f>
        <v>0</v>
      </c>
    </row>
    <row r="25" spans="1:16" ht="18" customHeight="1" x14ac:dyDescent="0.25">
      <c r="A25" t="s">
        <v>312</v>
      </c>
      <c r="B25" t="s">
        <v>10</v>
      </c>
      <c r="D25" t="s">
        <v>313</v>
      </c>
      <c r="E25" s="32">
        <v>46170</v>
      </c>
      <c r="F25" s="32">
        <v>46198</v>
      </c>
      <c r="G25" s="135">
        <v>3730.68</v>
      </c>
      <c r="H25" s="8">
        <v>2772</v>
      </c>
      <c r="I25" s="8">
        <v>798.9</v>
      </c>
      <c r="J25" s="8">
        <v>0</v>
      </c>
      <c r="K25" s="8">
        <v>159.78</v>
      </c>
      <c r="L25" s="8" t="s">
        <v>225</v>
      </c>
      <c r="M25" s="10"/>
      <c r="N25" s="12"/>
    </row>
    <row r="26" spans="1:16" x14ac:dyDescent="0.25">
      <c r="A26" t="s">
        <v>314</v>
      </c>
      <c r="B26" t="s">
        <v>268</v>
      </c>
      <c r="C26">
        <v>3003254426</v>
      </c>
      <c r="D26" t="s">
        <v>315</v>
      </c>
      <c r="E26" s="32">
        <v>46171</v>
      </c>
      <c r="F26" s="32">
        <v>46230</v>
      </c>
      <c r="G26" s="135">
        <v>9680</v>
      </c>
      <c r="H26" s="8">
        <v>0</v>
      </c>
      <c r="I26" s="8">
        <v>8800</v>
      </c>
      <c r="J26" s="8">
        <v>0</v>
      </c>
      <c r="K26" s="8">
        <v>880</v>
      </c>
      <c r="L26" s="8" t="s">
        <v>231</v>
      </c>
      <c r="N26" s="12"/>
    </row>
    <row r="27" spans="1:16" x14ac:dyDescent="0.25">
      <c r="A27" t="s">
        <v>318</v>
      </c>
      <c r="B27" t="s">
        <v>78</v>
      </c>
      <c r="C27">
        <v>4400688949</v>
      </c>
      <c r="D27" t="s">
        <v>319</v>
      </c>
      <c r="E27" s="32">
        <v>46177</v>
      </c>
      <c r="F27" s="32">
        <v>46233</v>
      </c>
      <c r="G27" s="135">
        <v>3353.59</v>
      </c>
      <c r="H27" s="8">
        <f>700+72+1353</f>
        <v>2125</v>
      </c>
      <c r="I27" s="8">
        <v>867.8</v>
      </c>
      <c r="J27" s="8">
        <v>0</v>
      </c>
      <c r="K27" s="8">
        <v>360.79</v>
      </c>
      <c r="L27" s="8" t="s">
        <v>231</v>
      </c>
      <c r="M27" s="8"/>
      <c r="N27" s="12"/>
      <c r="O27" s="8"/>
    </row>
    <row r="28" spans="1:16" x14ac:dyDescent="0.25">
      <c r="A28" t="s">
        <v>320</v>
      </c>
      <c r="B28" t="s">
        <v>252</v>
      </c>
      <c r="D28" t="s">
        <v>321</v>
      </c>
      <c r="E28" s="32">
        <v>46177</v>
      </c>
      <c r="F28" s="32">
        <v>46203</v>
      </c>
      <c r="G28" s="135">
        <v>12544.24</v>
      </c>
      <c r="H28" s="8">
        <f>1850+6120</f>
        <v>7970</v>
      </c>
      <c r="I28" s="8">
        <f>3130.24+480</f>
        <v>3610.24</v>
      </c>
      <c r="J28" s="8">
        <v>0</v>
      </c>
      <c r="K28" s="8">
        <v>964</v>
      </c>
      <c r="L28" s="8" t="s">
        <v>225</v>
      </c>
      <c r="N28" s="12"/>
    </row>
    <row r="29" spans="1:16" x14ac:dyDescent="0.25">
      <c r="A29" t="s">
        <v>322</v>
      </c>
      <c r="B29" t="s">
        <v>10</v>
      </c>
      <c r="D29" t="s">
        <v>323</v>
      </c>
      <c r="E29" s="32">
        <v>46177</v>
      </c>
      <c r="F29" s="32">
        <v>46203</v>
      </c>
      <c r="G29" s="135">
        <v>2453.36</v>
      </c>
      <c r="H29" s="8">
        <v>1004</v>
      </c>
      <c r="I29" s="8">
        <v>1207.8</v>
      </c>
      <c r="J29" s="8">
        <v>0</v>
      </c>
      <c r="K29" s="8">
        <v>241.56</v>
      </c>
      <c r="L29" s="8" t="s">
        <v>225</v>
      </c>
      <c r="M29" s="10" t="s">
        <v>16</v>
      </c>
      <c r="N29" s="9">
        <f>SUM(N4:N28)</f>
        <v>1094353.1100000001</v>
      </c>
      <c r="O29" s="8"/>
      <c r="P29" s="11">
        <f>SUM(P4:P28)</f>
        <v>27</v>
      </c>
    </row>
    <row r="30" spans="1:16" ht="15.75" customHeight="1" x14ac:dyDescent="0.25">
      <c r="A30" s="144" t="s">
        <v>324</v>
      </c>
      <c r="B30" t="s">
        <v>195</v>
      </c>
      <c r="D30" t="s">
        <v>325</v>
      </c>
      <c r="E30" s="32">
        <v>46182</v>
      </c>
      <c r="F30" s="32">
        <v>46295</v>
      </c>
      <c r="G30" s="135">
        <v>47668.98</v>
      </c>
      <c r="H30" s="8">
        <f>6440+472+33685.95</f>
        <v>40597.949999999997</v>
      </c>
      <c r="I30" s="8">
        <v>4645.03</v>
      </c>
      <c r="J30" s="8">
        <v>0</v>
      </c>
      <c r="K30" s="8">
        <v>2426</v>
      </c>
      <c r="L30" s="8" t="s">
        <v>231</v>
      </c>
      <c r="N30" t="s">
        <v>45</v>
      </c>
      <c r="O30" t="s">
        <v>44</v>
      </c>
    </row>
    <row r="31" spans="1:16" x14ac:dyDescent="0.25">
      <c r="A31" t="s">
        <v>337</v>
      </c>
      <c r="B31" t="s">
        <v>252</v>
      </c>
      <c r="C31" t="s">
        <v>338</v>
      </c>
      <c r="D31" t="s">
        <v>339</v>
      </c>
      <c r="E31" s="32">
        <v>46217</v>
      </c>
      <c r="F31" s="32">
        <v>46321</v>
      </c>
      <c r="G31" s="135">
        <v>268441.76</v>
      </c>
      <c r="H31" s="8">
        <f>184614.28+43438.32+216</f>
        <v>228268.6</v>
      </c>
      <c r="I31" s="8">
        <v>17335.38</v>
      </c>
      <c r="J31" s="8">
        <v>0</v>
      </c>
      <c r="K31" s="8">
        <v>22837.78</v>
      </c>
      <c r="L31" s="8" t="s">
        <v>231</v>
      </c>
      <c r="N31" s="9" t="s">
        <v>105</v>
      </c>
      <c r="O31" s="9">
        <f>SUM(H:H)</f>
        <v>698769.05</v>
      </c>
    </row>
    <row r="32" spans="1:16" ht="15" customHeight="1" x14ac:dyDescent="0.25">
      <c r="A32" t="s">
        <v>340</v>
      </c>
      <c r="B32" t="s">
        <v>252</v>
      </c>
      <c r="C32">
        <v>4200003861</v>
      </c>
      <c r="D32" t="s">
        <v>341</v>
      </c>
      <c r="E32" s="32">
        <v>46217</v>
      </c>
      <c r="F32" s="32">
        <v>46234</v>
      </c>
      <c r="G32" s="135">
        <v>4360</v>
      </c>
      <c r="H32" s="8">
        <v>860</v>
      </c>
      <c r="I32" s="8">
        <v>3500</v>
      </c>
      <c r="J32" s="8">
        <v>0</v>
      </c>
      <c r="K32" s="8">
        <v>0</v>
      </c>
      <c r="L32" s="8" t="s">
        <v>225</v>
      </c>
      <c r="M32" s="8"/>
      <c r="N32" s="11" t="s">
        <v>66</v>
      </c>
      <c r="O32" s="9">
        <f>SUM(I:I)</f>
        <v>323842.94999999995</v>
      </c>
    </row>
    <row r="33" spans="1:16" x14ac:dyDescent="0.25">
      <c r="A33" t="s">
        <v>344</v>
      </c>
      <c r="B33" t="s">
        <v>78</v>
      </c>
      <c r="C33">
        <v>4400694917</v>
      </c>
      <c r="D33" t="s">
        <v>345</v>
      </c>
      <c r="E33" s="32">
        <v>46219</v>
      </c>
      <c r="F33" s="32">
        <v>46258</v>
      </c>
      <c r="G33" s="135">
        <v>632.84</v>
      </c>
      <c r="H33" s="8">
        <v>506.27</v>
      </c>
      <c r="I33" s="8">
        <v>0</v>
      </c>
      <c r="J33" s="8">
        <v>0</v>
      </c>
      <c r="K33" s="8">
        <v>126.57</v>
      </c>
      <c r="L33" s="8" t="s">
        <v>225</v>
      </c>
      <c r="M33" s="8"/>
      <c r="N33" s="11" t="s">
        <v>42</v>
      </c>
      <c r="O33" s="9">
        <f>SUM(J:J)</f>
        <v>9413.82</v>
      </c>
    </row>
    <row r="34" spans="1:16" x14ac:dyDescent="0.25">
      <c r="E34" s="32"/>
      <c r="F34" s="32"/>
      <c r="G34" s="135"/>
      <c r="M34" s="8"/>
      <c r="N34" s="11" t="s">
        <v>43</v>
      </c>
      <c r="O34" s="9">
        <f>SUM(K:K)</f>
        <v>112065.29000000001</v>
      </c>
    </row>
    <row r="35" spans="1:16" x14ac:dyDescent="0.25">
      <c r="E35" s="32"/>
      <c r="F35" s="32"/>
      <c r="G35" s="135"/>
      <c r="M35" s="8"/>
      <c r="N35" s="8"/>
      <c r="O35" s="9">
        <f>SUM(O31:O34)</f>
        <v>1144091.1099999999</v>
      </c>
    </row>
    <row r="36" spans="1:16" ht="15.75" thickBot="1" x14ac:dyDescent="0.3">
      <c r="E36" s="32"/>
      <c r="F36" s="32"/>
      <c r="G36" s="135"/>
      <c r="M36" s="8"/>
    </row>
    <row r="37" spans="1:16" ht="19.5" thickBot="1" x14ac:dyDescent="0.35">
      <c r="E37" s="32"/>
      <c r="F37" s="32"/>
      <c r="G37" s="135"/>
      <c r="M37" s="8"/>
      <c r="N37" s="37" t="s">
        <v>59</v>
      </c>
      <c r="O37" s="38">
        <f>P55</f>
        <v>0</v>
      </c>
    </row>
    <row r="38" spans="1:16" ht="15.75" thickBot="1" x14ac:dyDescent="0.3">
      <c r="E38" s="32"/>
      <c r="F38" s="32"/>
      <c r="G38" s="135"/>
      <c r="M38" s="8"/>
    </row>
    <row r="39" spans="1:16" ht="21.75" thickBot="1" x14ac:dyDescent="0.4">
      <c r="E39" s="32"/>
      <c r="F39" s="32"/>
      <c r="G39" s="135"/>
      <c r="M39" s="8"/>
      <c r="N39" s="34" t="s">
        <v>63</v>
      </c>
      <c r="O39" s="35">
        <f>O32+O34</f>
        <v>435908.24</v>
      </c>
    </row>
    <row r="40" spans="1:16" x14ac:dyDescent="0.25">
      <c r="E40" s="32"/>
      <c r="F40" s="32"/>
      <c r="G40" s="135"/>
      <c r="M40" s="8"/>
      <c r="N40" s="36">
        <f ca="1">NOW()</f>
        <v>46237.384116435183</v>
      </c>
    </row>
    <row r="41" spans="1:16" x14ac:dyDescent="0.25">
      <c r="E41" s="32"/>
      <c r="F41" s="32"/>
      <c r="G41" s="135"/>
      <c r="M41" s="8"/>
    </row>
    <row r="42" spans="1:16" x14ac:dyDescent="0.25">
      <c r="E42" s="32"/>
      <c r="F42" s="32"/>
      <c r="G42" s="135"/>
      <c r="M42" s="8"/>
    </row>
    <row r="43" spans="1:16" x14ac:dyDescent="0.25">
      <c r="E43" s="32"/>
      <c r="F43" s="32"/>
      <c r="G43" s="135"/>
      <c r="M43" s="8"/>
    </row>
    <row r="44" spans="1:16" ht="15.75" thickBot="1" x14ac:dyDescent="0.3">
      <c r="E44" s="32"/>
      <c r="G44" s="135"/>
      <c r="M44" s="8"/>
    </row>
    <row r="45" spans="1:16" ht="19.5" thickBot="1" x14ac:dyDescent="0.35">
      <c r="E45" s="32"/>
      <c r="F45" s="32"/>
      <c r="G45" s="135"/>
      <c r="M45" s="8"/>
      <c r="N45" s="151" t="s">
        <v>60</v>
      </c>
      <c r="O45" s="152"/>
      <c r="P45" s="153"/>
    </row>
    <row r="46" spans="1:16" ht="19.5" thickBot="1" x14ac:dyDescent="0.35">
      <c r="E46" s="32"/>
      <c r="F46" s="32"/>
      <c r="G46" s="135"/>
      <c r="M46" s="8"/>
      <c r="N46" s="37" t="s">
        <v>61</v>
      </c>
      <c r="O46" s="37" t="s">
        <v>62</v>
      </c>
      <c r="P46" s="39" t="s">
        <v>8</v>
      </c>
    </row>
    <row r="47" spans="1:16" x14ac:dyDescent="0.25">
      <c r="E47" s="32"/>
      <c r="F47" s="32"/>
      <c r="G47" s="135"/>
      <c r="M47" s="8"/>
      <c r="N47" s="41"/>
      <c r="O47" s="40"/>
      <c r="P47" s="43"/>
    </row>
    <row r="48" spans="1:16" x14ac:dyDescent="0.25">
      <c r="E48" s="32"/>
      <c r="F48" s="32"/>
      <c r="G48" s="135"/>
      <c r="M48" s="8"/>
      <c r="N48" s="41"/>
      <c r="O48" s="42"/>
      <c r="P48" s="43"/>
    </row>
    <row r="49" spans="5:16" x14ac:dyDescent="0.25">
      <c r="E49" s="32"/>
      <c r="F49" s="32"/>
      <c r="G49" s="135"/>
      <c r="M49" s="8"/>
      <c r="N49" s="41"/>
      <c r="O49" s="16"/>
      <c r="P49" s="43"/>
    </row>
    <row r="50" spans="5:16" x14ac:dyDescent="0.25">
      <c r="E50" s="32"/>
      <c r="F50" s="32"/>
      <c r="G50" s="135"/>
      <c r="K50" s="147"/>
      <c r="M50" s="8"/>
      <c r="N50" s="41"/>
      <c r="O50" s="42"/>
      <c r="P50" s="43"/>
    </row>
    <row r="51" spans="5:16" x14ac:dyDescent="0.25">
      <c r="E51" s="32"/>
      <c r="F51" s="32"/>
      <c r="G51" s="135"/>
      <c r="M51" s="8"/>
      <c r="N51" s="41"/>
      <c r="O51" s="42"/>
      <c r="P51" s="43"/>
    </row>
    <row r="52" spans="5:16" x14ac:dyDescent="0.25">
      <c r="E52" s="32"/>
      <c r="F52" s="32"/>
      <c r="G52" s="135"/>
      <c r="M52" s="8"/>
      <c r="N52" s="41"/>
      <c r="O52" s="42"/>
      <c r="P52" s="43"/>
    </row>
    <row r="53" spans="5:16" x14ac:dyDescent="0.25">
      <c r="E53" s="32"/>
      <c r="F53" s="32"/>
      <c r="G53" s="135"/>
      <c r="M53" s="8"/>
      <c r="N53" s="41"/>
      <c r="O53" s="42"/>
      <c r="P53" s="43"/>
    </row>
    <row r="54" spans="5:16" ht="15.75" thickBot="1" x14ac:dyDescent="0.3">
      <c r="E54" s="32"/>
      <c r="F54" s="32"/>
      <c r="G54" s="135"/>
      <c r="M54" s="8"/>
      <c r="N54" s="44"/>
      <c r="O54" s="45"/>
      <c r="P54" s="46"/>
    </row>
    <row r="55" spans="5:16" x14ac:dyDescent="0.25">
      <c r="E55" s="32"/>
      <c r="F55" s="32"/>
      <c r="G55" s="135"/>
      <c r="M55" s="8"/>
      <c r="P55" s="9">
        <f>SUM(P47:P54)</f>
        <v>0</v>
      </c>
    </row>
    <row r="56" spans="5:16" x14ac:dyDescent="0.25">
      <c r="E56" s="32"/>
      <c r="F56" s="32"/>
      <c r="G56" s="135"/>
      <c r="M56" s="8"/>
      <c r="P56" s="8"/>
    </row>
    <row r="57" spans="5:16" x14ac:dyDescent="0.25">
      <c r="E57" s="32"/>
      <c r="F57" s="32"/>
      <c r="G57" s="135"/>
      <c r="M57" s="8"/>
    </row>
    <row r="58" spans="5:16" x14ac:dyDescent="0.25">
      <c r="E58" s="32"/>
      <c r="F58" s="32"/>
      <c r="G58" s="135"/>
      <c r="M58" s="8"/>
    </row>
    <row r="59" spans="5:16" x14ac:dyDescent="0.25">
      <c r="E59" s="32"/>
      <c r="F59" s="32"/>
      <c r="G59" s="135"/>
      <c r="M59" s="8"/>
    </row>
    <row r="60" spans="5:16" x14ac:dyDescent="0.25">
      <c r="E60" s="32"/>
      <c r="F60" s="32"/>
      <c r="G60" s="135"/>
      <c r="M60" s="8"/>
    </row>
    <row r="61" spans="5:16" x14ac:dyDescent="0.25">
      <c r="E61" s="32"/>
      <c r="F61" s="32"/>
      <c r="G61" s="135"/>
      <c r="M61" s="8"/>
    </row>
    <row r="62" spans="5:16" x14ac:dyDescent="0.25">
      <c r="E62" s="32"/>
      <c r="F62" s="32"/>
      <c r="G62" s="135"/>
      <c r="M62" s="8"/>
    </row>
    <row r="63" spans="5:16" x14ac:dyDescent="0.25">
      <c r="E63" s="32"/>
      <c r="F63" s="32"/>
      <c r="G63" s="135"/>
      <c r="M63" s="8"/>
    </row>
    <row r="64" spans="5:16" x14ac:dyDescent="0.25">
      <c r="E64" s="32"/>
      <c r="F64" s="32"/>
      <c r="G64" s="135"/>
      <c r="M64" s="8"/>
    </row>
    <row r="65" spans="2:13" x14ac:dyDescent="0.25">
      <c r="B65" s="96"/>
      <c r="E65" s="32"/>
      <c r="F65" s="32"/>
      <c r="G65" s="135"/>
      <c r="M65" s="8"/>
    </row>
    <row r="66" spans="2:13" x14ac:dyDescent="0.25">
      <c r="B66" s="96"/>
      <c r="E66" s="32"/>
      <c r="M66" s="8"/>
    </row>
    <row r="67" spans="2:13" x14ac:dyDescent="0.25">
      <c r="B67" s="96"/>
      <c r="E67" s="32"/>
      <c r="M67" s="8"/>
    </row>
    <row r="68" spans="2:13" x14ac:dyDescent="0.25">
      <c r="B68" s="96"/>
      <c r="E68" s="32"/>
      <c r="M68" s="8"/>
    </row>
    <row r="69" spans="2:13" x14ac:dyDescent="0.25">
      <c r="B69" s="96"/>
      <c r="E69" s="32"/>
      <c r="M69" s="8"/>
    </row>
    <row r="70" spans="2:13" x14ac:dyDescent="0.25">
      <c r="B70" s="96"/>
      <c r="E70" s="32"/>
      <c r="M70" s="8"/>
    </row>
    <row r="71" spans="2:13" x14ac:dyDescent="0.25">
      <c r="B71" s="96"/>
      <c r="E71" s="32"/>
      <c r="M71" s="8"/>
    </row>
    <row r="72" spans="2:13" x14ac:dyDescent="0.25">
      <c r="B72" s="96"/>
      <c r="E72" s="32"/>
      <c r="M72" s="8"/>
    </row>
    <row r="73" spans="2:13" x14ac:dyDescent="0.25">
      <c r="B73" s="96"/>
      <c r="E73" s="32"/>
      <c r="M73" s="8"/>
    </row>
    <row r="74" spans="2:13" x14ac:dyDescent="0.25">
      <c r="B74" s="96"/>
      <c r="E74" s="32"/>
      <c r="F74" s="32"/>
      <c r="M74" s="8"/>
    </row>
    <row r="75" spans="2:13" x14ac:dyDescent="0.25">
      <c r="B75" s="96"/>
      <c r="E75" s="32"/>
      <c r="F75" s="32"/>
      <c r="M75" s="8"/>
    </row>
    <row r="76" spans="2:13" x14ac:dyDescent="0.25">
      <c r="B76" s="96"/>
      <c r="E76" s="32"/>
      <c r="F76" s="32"/>
      <c r="M76" s="8"/>
    </row>
    <row r="77" spans="2:13" x14ac:dyDescent="0.25">
      <c r="B77" s="96"/>
      <c r="E77" s="32"/>
      <c r="F77" s="32"/>
      <c r="M77" s="8"/>
    </row>
    <row r="78" spans="2:13" x14ac:dyDescent="0.25">
      <c r="B78" s="96"/>
      <c r="E78" s="32"/>
      <c r="F78" s="32"/>
      <c r="M78" s="8"/>
    </row>
    <row r="79" spans="2:13" x14ac:dyDescent="0.25">
      <c r="B79" s="96"/>
      <c r="E79" s="32"/>
      <c r="F79" s="32"/>
      <c r="M79" s="8"/>
    </row>
    <row r="80" spans="2:13" x14ac:dyDescent="0.25">
      <c r="B80" s="96"/>
      <c r="E80" s="32"/>
      <c r="F80" s="32"/>
      <c r="M80" s="8"/>
    </row>
    <row r="81" spans="2:13" x14ac:dyDescent="0.25">
      <c r="B81" s="96"/>
      <c r="E81" s="32"/>
      <c r="F81" s="32"/>
      <c r="M81" s="8"/>
    </row>
    <row r="82" spans="2:13" x14ac:dyDescent="0.25">
      <c r="B82" s="96"/>
      <c r="E82" s="32"/>
      <c r="F82" s="32"/>
      <c r="M82" s="8"/>
    </row>
    <row r="83" spans="2:13" x14ac:dyDescent="0.25">
      <c r="B83" s="96"/>
      <c r="E83" s="32"/>
      <c r="F83" s="32"/>
    </row>
    <row r="84" spans="2:13" x14ac:dyDescent="0.25">
      <c r="B84" s="96"/>
      <c r="E84" s="32"/>
      <c r="F84" s="32"/>
    </row>
    <row r="85" spans="2:13" x14ac:dyDescent="0.25">
      <c r="E85" s="32"/>
      <c r="F85" s="32"/>
    </row>
    <row r="86" spans="2:13" x14ac:dyDescent="0.25">
      <c r="E86" s="32"/>
      <c r="F86" s="32"/>
    </row>
    <row r="87" spans="2:13" x14ac:dyDescent="0.25">
      <c r="E87" s="32"/>
      <c r="F87" s="32"/>
    </row>
    <row r="88" spans="2:13" x14ac:dyDescent="0.25">
      <c r="E88" s="32"/>
      <c r="F88" s="32"/>
    </row>
    <row r="173" spans="3:6" x14ac:dyDescent="0.25">
      <c r="C173" s="10"/>
      <c r="E173" s="33"/>
      <c r="F173" s="33"/>
    </row>
  </sheetData>
  <autoFilter ref="A2:L204"/>
  <sortState ref="M4:N24">
    <sortCondition descending="1" ref="N4:N24"/>
  </sortState>
  <mergeCells count="2">
    <mergeCell ref="N45:P45"/>
    <mergeCell ref="A1:D1"/>
  </mergeCells>
  <conditionalFormatting sqref="F4">
    <cfRule type="timePeriod" dxfId="59" priority="12" timePeriod="today">
      <formula>FLOOR(F4,1)=TODAY()</formula>
    </cfRule>
  </conditionalFormatting>
  <conditionalFormatting sqref="F5">
    <cfRule type="timePeriod" dxfId="58" priority="11" timePeriod="today">
      <formula>FLOOR(F5,1)=TODAY()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5"/>
  <sheetViews>
    <sheetView topLeftCell="B1" zoomScaleNormal="100" workbookViewId="0">
      <pane ySplit="2" topLeftCell="A3" activePane="bottomLeft" state="frozen"/>
      <selection activeCell="B1" sqref="B1"/>
      <selection pane="bottomLeft" activeCell="B11" sqref="B11"/>
    </sheetView>
  </sheetViews>
  <sheetFormatPr baseColWidth="10" defaultRowHeight="15" x14ac:dyDescent="0.25"/>
  <cols>
    <col min="1" max="1" width="18.28515625" customWidth="1"/>
    <col min="2" max="2" width="10.42578125" customWidth="1"/>
    <col min="3" max="3" width="14.42578125" customWidth="1"/>
    <col min="4" max="4" width="51.7109375" style="63" customWidth="1"/>
    <col min="5" max="5" width="10.5703125" customWidth="1"/>
    <col min="6" max="6" width="10.7109375" customWidth="1"/>
    <col min="7" max="7" width="12.85546875" customWidth="1"/>
    <col min="9" max="9" width="10.85546875" customWidth="1"/>
    <col min="12" max="12" width="16" customWidth="1"/>
    <col min="13" max="13" width="14.140625" customWidth="1"/>
    <col min="14" max="14" width="18" customWidth="1"/>
    <col min="15" max="15" width="19" customWidth="1"/>
    <col min="16" max="16" width="12" customWidth="1"/>
  </cols>
  <sheetData>
    <row r="1" spans="1:16" ht="19.5" thickBot="1" x14ac:dyDescent="0.35">
      <c r="B1" s="154" t="s">
        <v>220</v>
      </c>
      <c r="C1" s="154"/>
      <c r="D1" s="154"/>
    </row>
    <row r="2" spans="1:16" ht="34.5" thickBot="1" x14ac:dyDescent="0.3">
      <c r="A2" s="55" t="s">
        <v>4</v>
      </c>
      <c r="B2" s="1" t="s">
        <v>0</v>
      </c>
      <c r="C2" s="2" t="s">
        <v>9</v>
      </c>
      <c r="D2" s="2" t="s">
        <v>1</v>
      </c>
      <c r="E2" s="3" t="s">
        <v>5</v>
      </c>
      <c r="F2" s="3" t="s">
        <v>6</v>
      </c>
      <c r="G2" s="6" t="s">
        <v>2</v>
      </c>
      <c r="H2" s="6" t="s">
        <v>7</v>
      </c>
      <c r="I2" s="6" t="s">
        <v>57</v>
      </c>
      <c r="J2" s="13" t="s">
        <v>13</v>
      </c>
      <c r="K2" s="7" t="s">
        <v>3</v>
      </c>
      <c r="L2" s="7" t="s">
        <v>119</v>
      </c>
      <c r="N2" s="9">
        <f>SUM(G:G)</f>
        <v>233638.8</v>
      </c>
      <c r="P2" s="11">
        <f>COUNTA(A3:A445)</f>
        <v>10</v>
      </c>
    </row>
    <row r="3" spans="1:16" x14ac:dyDescent="0.25">
      <c r="A3" t="s">
        <v>226</v>
      </c>
      <c r="B3" t="s">
        <v>203</v>
      </c>
      <c r="C3" s="141" t="s">
        <v>227</v>
      </c>
      <c r="D3" t="s">
        <v>228</v>
      </c>
      <c r="E3" s="80">
        <v>46023</v>
      </c>
      <c r="F3" s="80">
        <v>46081</v>
      </c>
      <c r="G3" s="114">
        <v>32050</v>
      </c>
      <c r="H3" s="8">
        <f>7960</f>
        <v>7960</v>
      </c>
      <c r="I3" s="8">
        <v>20075</v>
      </c>
      <c r="J3" s="8">
        <v>0</v>
      </c>
      <c r="K3" s="8">
        <v>4015</v>
      </c>
      <c r="L3" s="8" t="s">
        <v>225</v>
      </c>
      <c r="M3" s="15" t="s">
        <v>14</v>
      </c>
      <c r="N3" s="11" t="s">
        <v>15</v>
      </c>
      <c r="O3" s="15" t="s">
        <v>14</v>
      </c>
      <c r="P3" s="11" t="s">
        <v>27</v>
      </c>
    </row>
    <row r="4" spans="1:16" x14ac:dyDescent="0.25">
      <c r="A4" t="s">
        <v>260</v>
      </c>
      <c r="B4" t="s">
        <v>192</v>
      </c>
      <c r="C4" s="141"/>
      <c r="D4" s="64" t="s">
        <v>261</v>
      </c>
      <c r="E4" s="80">
        <v>46062</v>
      </c>
      <c r="F4" s="80">
        <v>46073</v>
      </c>
      <c r="G4" s="114">
        <v>2220</v>
      </c>
      <c r="H4" s="8">
        <v>420</v>
      </c>
      <c r="I4" s="8">
        <v>1500</v>
      </c>
      <c r="J4" s="8">
        <v>0</v>
      </c>
      <c r="K4" s="8">
        <v>300</v>
      </c>
      <c r="L4" s="8" t="s">
        <v>225</v>
      </c>
      <c r="M4" s="10" t="s">
        <v>203</v>
      </c>
      <c r="N4" s="12">
        <f>SUMIF(B:B,"petrotal",G:G)</f>
        <v>197050</v>
      </c>
      <c r="O4" s="10" t="s">
        <v>11</v>
      </c>
      <c r="P4">
        <f>COUNTIF(B:B,"RESERTEC")</f>
        <v>0</v>
      </c>
    </row>
    <row r="5" spans="1:16" x14ac:dyDescent="0.25">
      <c r="A5" t="s">
        <v>264</v>
      </c>
      <c r="B5" t="s">
        <v>265</v>
      </c>
      <c r="C5" s="141">
        <v>34921</v>
      </c>
      <c r="D5" s="64" t="s">
        <v>266</v>
      </c>
      <c r="E5" s="80">
        <v>46066</v>
      </c>
      <c r="F5" s="80">
        <v>46087</v>
      </c>
      <c r="G5" s="114">
        <v>3380</v>
      </c>
      <c r="H5" s="8">
        <v>1100</v>
      </c>
      <c r="I5" s="8">
        <v>1900</v>
      </c>
      <c r="J5" s="8">
        <v>0</v>
      </c>
      <c r="K5" s="8">
        <v>380</v>
      </c>
      <c r="L5" s="8" t="s">
        <v>231</v>
      </c>
      <c r="M5" s="10" t="s">
        <v>11</v>
      </c>
      <c r="N5" s="12">
        <f>SUMIF(B:B,"resertec",G:G)</f>
        <v>0</v>
      </c>
      <c r="O5" s="10" t="s">
        <v>82</v>
      </c>
      <c r="P5">
        <f>COUNTIF(B:B,"terminales del perú")</f>
        <v>0</v>
      </c>
    </row>
    <row r="6" spans="1:16" x14ac:dyDescent="0.25">
      <c r="A6" t="s">
        <v>282</v>
      </c>
      <c r="B6" t="s">
        <v>203</v>
      </c>
      <c r="C6" s="141"/>
      <c r="D6" s="64" t="s">
        <v>278</v>
      </c>
      <c r="E6" s="80">
        <v>46082</v>
      </c>
      <c r="F6" s="80">
        <v>46387</v>
      </c>
      <c r="G6" s="135">
        <v>165000</v>
      </c>
      <c r="H6" s="8">
        <v>36668.33</v>
      </c>
      <c r="I6" s="8">
        <v>107675</v>
      </c>
      <c r="J6" s="8">
        <v>0</v>
      </c>
      <c r="K6" s="8">
        <v>21656.67</v>
      </c>
      <c r="L6" s="8" t="s">
        <v>225</v>
      </c>
      <c r="M6" s="10" t="s">
        <v>192</v>
      </c>
      <c r="N6" s="12">
        <f>SUMIF(B:B,"valero",G:G)</f>
        <v>9120</v>
      </c>
      <c r="O6" s="10" t="s">
        <v>192</v>
      </c>
      <c r="P6">
        <f>COUNTIF(B:B,"valero")</f>
        <v>4</v>
      </c>
    </row>
    <row r="7" spans="1:16" x14ac:dyDescent="0.25">
      <c r="A7" t="s">
        <v>285</v>
      </c>
      <c r="B7" t="s">
        <v>265</v>
      </c>
      <c r="C7" s="141"/>
      <c r="D7" s="64" t="s">
        <v>286</v>
      </c>
      <c r="E7" s="80">
        <v>46093</v>
      </c>
      <c r="F7" s="80">
        <v>46099</v>
      </c>
      <c r="G7" s="114">
        <v>2240</v>
      </c>
      <c r="H7" s="8">
        <v>800</v>
      </c>
      <c r="I7" s="8">
        <v>1200</v>
      </c>
      <c r="J7" s="8">
        <v>0</v>
      </c>
      <c r="K7" s="8">
        <v>240</v>
      </c>
      <c r="L7" s="8" t="s">
        <v>225</v>
      </c>
      <c r="M7" s="10" t="s">
        <v>82</v>
      </c>
      <c r="N7" s="12">
        <f>SUMIF(B:B,"terminales del perú",G:G)</f>
        <v>0</v>
      </c>
      <c r="O7" s="10" t="s">
        <v>219</v>
      </c>
      <c r="P7">
        <f>COUNTIF(B:B,"Linde")</f>
        <v>0</v>
      </c>
    </row>
    <row r="8" spans="1:16" x14ac:dyDescent="0.25">
      <c r="A8" t="s">
        <v>287</v>
      </c>
      <c r="B8" t="s">
        <v>192</v>
      </c>
      <c r="C8" s="141"/>
      <c r="D8" s="64" t="s">
        <v>288</v>
      </c>
      <c r="E8" s="80">
        <v>46094</v>
      </c>
      <c r="F8" s="80">
        <v>46108</v>
      </c>
      <c r="G8" s="135">
        <v>2400</v>
      </c>
      <c r="H8" s="8">
        <v>1250</v>
      </c>
      <c r="I8" s="8">
        <v>970</v>
      </c>
      <c r="J8" s="8">
        <v>0</v>
      </c>
      <c r="K8" s="8">
        <v>180</v>
      </c>
      <c r="L8" s="8" t="s">
        <v>225</v>
      </c>
      <c r="M8" s="10" t="s">
        <v>219</v>
      </c>
      <c r="N8" s="12">
        <f>SUMIF(B:B,"linde",G:G)</f>
        <v>0</v>
      </c>
      <c r="O8" s="10" t="s">
        <v>203</v>
      </c>
      <c r="P8">
        <f>COUNTIF(B:B,"petrotal")</f>
        <v>2</v>
      </c>
    </row>
    <row r="9" spans="1:16" x14ac:dyDescent="0.25">
      <c r="A9" t="s">
        <v>316</v>
      </c>
      <c r="B9" t="s">
        <v>192</v>
      </c>
      <c r="C9" s="141"/>
      <c r="D9" s="64" t="s">
        <v>317</v>
      </c>
      <c r="E9" s="80">
        <v>46171</v>
      </c>
      <c r="F9" s="80">
        <v>46176</v>
      </c>
      <c r="G9" s="114">
        <v>1420</v>
      </c>
      <c r="H9" s="8">
        <v>340</v>
      </c>
      <c r="I9" s="8">
        <v>900</v>
      </c>
      <c r="J9" s="8">
        <v>0</v>
      </c>
      <c r="K9" s="8">
        <v>180</v>
      </c>
      <c r="L9" s="8" t="s">
        <v>237</v>
      </c>
      <c r="M9" s="17" t="s">
        <v>10</v>
      </c>
      <c r="N9" s="12">
        <f>SUMIF(B:B,"precisión",G:G)</f>
        <v>0</v>
      </c>
      <c r="O9" s="10" t="s">
        <v>10</v>
      </c>
      <c r="P9">
        <f>COUNTIF(B:B,"precisión")</f>
        <v>0</v>
      </c>
    </row>
    <row r="10" spans="1:16" ht="18" customHeight="1" x14ac:dyDescent="0.25">
      <c r="A10" t="s">
        <v>326</v>
      </c>
      <c r="B10" t="s">
        <v>265</v>
      </c>
      <c r="C10" s="141"/>
      <c r="D10" s="64" t="s">
        <v>327</v>
      </c>
      <c r="E10" s="80">
        <v>46182</v>
      </c>
      <c r="F10" s="80">
        <v>46183</v>
      </c>
      <c r="G10" s="114">
        <v>572</v>
      </c>
      <c r="H10" s="8">
        <v>212</v>
      </c>
      <c r="I10" s="8">
        <v>300</v>
      </c>
      <c r="J10" s="8">
        <v>0</v>
      </c>
      <c r="K10" s="8">
        <v>60</v>
      </c>
      <c r="L10" s="8" t="s">
        <v>225</v>
      </c>
      <c r="M10" s="10" t="s">
        <v>124</v>
      </c>
      <c r="N10" s="12">
        <f>SUMIF(B:B,"metso",G:G)</f>
        <v>0</v>
      </c>
      <c r="O10" s="10" t="s">
        <v>124</v>
      </c>
      <c r="P10">
        <f>COUNTIF(B:B,"metso")</f>
        <v>0</v>
      </c>
    </row>
    <row r="11" spans="1:16" x14ac:dyDescent="0.25">
      <c r="A11" t="s">
        <v>330</v>
      </c>
      <c r="B11" t="s">
        <v>332</v>
      </c>
      <c r="C11" s="141"/>
      <c r="D11" s="64" t="s">
        <v>331</v>
      </c>
      <c r="E11" s="80">
        <v>46199</v>
      </c>
      <c r="F11" s="80">
        <v>46108</v>
      </c>
      <c r="G11" s="114">
        <v>21276.799999999999</v>
      </c>
      <c r="H11" s="8">
        <v>1896.8</v>
      </c>
      <c r="I11" s="8">
        <v>17100</v>
      </c>
      <c r="J11" s="8">
        <v>0</v>
      </c>
      <c r="K11" s="8">
        <v>2280</v>
      </c>
      <c r="L11" s="8" t="s">
        <v>237</v>
      </c>
      <c r="M11" s="10" t="s">
        <v>193</v>
      </c>
      <c r="N11" s="12">
        <f>SUMIF(B:B,"confipetrol",G:G)</f>
        <v>0</v>
      </c>
      <c r="O11" s="10" t="s">
        <v>193</v>
      </c>
      <c r="P11">
        <f>COUNTIF(B:B,"confipetrol")</f>
        <v>0</v>
      </c>
    </row>
    <row r="12" spans="1:16" x14ac:dyDescent="0.25">
      <c r="A12" t="s">
        <v>335</v>
      </c>
      <c r="B12" t="s">
        <v>192</v>
      </c>
      <c r="C12" s="141"/>
      <c r="D12" s="64" t="s">
        <v>336</v>
      </c>
      <c r="E12" s="80">
        <v>46217</v>
      </c>
      <c r="F12" s="80">
        <v>46234</v>
      </c>
      <c r="G12" s="114">
        <v>3080</v>
      </c>
      <c r="H12" s="8">
        <v>560</v>
      </c>
      <c r="I12" s="8">
        <v>2100</v>
      </c>
      <c r="J12" s="8">
        <v>0</v>
      </c>
      <c r="K12" s="8">
        <v>420</v>
      </c>
      <c r="L12" s="8" t="s">
        <v>225</v>
      </c>
      <c r="M12" s="10" t="s">
        <v>144</v>
      </c>
      <c r="N12" s="12">
        <f>SUMIF(B:B,"Zeusol",G:G)</f>
        <v>0</v>
      </c>
      <c r="O12" s="10" t="s">
        <v>144</v>
      </c>
      <c r="P12">
        <f>COUNTIF(B:B,"zeusol")</f>
        <v>0</v>
      </c>
    </row>
    <row r="13" spans="1:16" x14ac:dyDescent="0.25">
      <c r="C13" s="141"/>
      <c r="D13" s="64"/>
      <c r="E13" s="80"/>
      <c r="F13" s="80"/>
      <c r="G13" s="114"/>
      <c r="H13" s="8"/>
      <c r="I13" s="8"/>
      <c r="J13" s="8"/>
      <c r="K13" s="8"/>
      <c r="L13" s="8"/>
      <c r="M13" s="10" t="s">
        <v>153</v>
      </c>
      <c r="N13" s="12">
        <f>SUMIF(B:B,"andalucita",G:G)</f>
        <v>0</v>
      </c>
      <c r="O13" s="10" t="s">
        <v>146</v>
      </c>
      <c r="P13">
        <f>COUNTIF(B:B,"enaex")</f>
        <v>0</v>
      </c>
    </row>
    <row r="14" spans="1:16" x14ac:dyDescent="0.25">
      <c r="C14" s="141"/>
      <c r="D14" s="64"/>
      <c r="E14" s="80"/>
      <c r="F14" s="80"/>
      <c r="G14" s="114"/>
      <c r="H14" s="8"/>
      <c r="I14" s="8"/>
      <c r="J14" s="8"/>
      <c r="K14" s="8"/>
      <c r="L14" s="8"/>
      <c r="M14" s="97" t="s">
        <v>126</v>
      </c>
      <c r="N14" s="100">
        <f>SUMIF(B:B,"Barrick",G:G)</f>
        <v>0</v>
      </c>
      <c r="O14" s="10" t="s">
        <v>138</v>
      </c>
      <c r="P14">
        <f>COUNTIF(B:B,"nexa")</f>
        <v>0</v>
      </c>
    </row>
    <row r="15" spans="1:16" x14ac:dyDescent="0.25">
      <c r="C15" s="141"/>
      <c r="D15" s="64"/>
      <c r="E15" s="80"/>
      <c r="F15" s="80"/>
      <c r="G15" s="135"/>
      <c r="H15" s="8"/>
      <c r="I15" s="8"/>
      <c r="J15" s="8"/>
      <c r="K15" s="8"/>
      <c r="L15" s="8"/>
      <c r="M15" s="10" t="s">
        <v>24</v>
      </c>
      <c r="N15" s="12">
        <f>SUMIF(B:B,"Praxair",G:G)</f>
        <v>0</v>
      </c>
      <c r="O15" s="10" t="s">
        <v>89</v>
      </c>
      <c r="P15">
        <f>COUNTIF(B:B,"savia")</f>
        <v>0</v>
      </c>
    </row>
    <row r="16" spans="1:16" x14ac:dyDescent="0.25">
      <c r="C16" s="141"/>
      <c r="D16" s="64"/>
      <c r="E16" s="80"/>
      <c r="F16" s="80"/>
      <c r="G16" s="114"/>
      <c r="H16" s="8"/>
      <c r="I16" s="8"/>
      <c r="J16" s="8"/>
      <c r="K16" s="8"/>
      <c r="L16" s="8"/>
      <c r="M16" s="10" t="s">
        <v>138</v>
      </c>
      <c r="N16" s="12">
        <f>SUMIF(B:B,"Nexa",G:G)</f>
        <v>0</v>
      </c>
      <c r="O16" s="97" t="s">
        <v>126</v>
      </c>
      <c r="P16" s="96">
        <f>COUNTIF(B:B,"Barrick")</f>
        <v>0</v>
      </c>
    </row>
    <row r="17" spans="1:16" x14ac:dyDescent="0.25">
      <c r="C17" s="141"/>
      <c r="D17" s="64"/>
      <c r="E17" s="80"/>
      <c r="F17" s="80"/>
      <c r="G17" s="114"/>
      <c r="H17" s="8"/>
      <c r="I17" s="8"/>
      <c r="J17" s="8"/>
      <c r="K17" s="8"/>
      <c r="L17" s="8"/>
      <c r="M17" s="10" t="s">
        <v>146</v>
      </c>
      <c r="N17" s="12">
        <f>SUMIF(B:B,"enaex",G:G)</f>
        <v>0</v>
      </c>
      <c r="O17" s="10" t="s">
        <v>24</v>
      </c>
      <c r="P17">
        <f>COUNTIF(B:B,"Praxair")</f>
        <v>0</v>
      </c>
    </row>
    <row r="18" spans="1:16" x14ac:dyDescent="0.25">
      <c r="C18" s="141"/>
      <c r="D18" s="64"/>
      <c r="E18" s="80"/>
      <c r="F18" s="80"/>
      <c r="G18" s="114"/>
      <c r="H18" s="8"/>
      <c r="I18" s="8"/>
      <c r="J18" s="8"/>
      <c r="K18" s="8"/>
      <c r="L18" s="8"/>
      <c r="M18" s="10" t="s">
        <v>89</v>
      </c>
      <c r="N18" s="12">
        <f>SUMIF(B:B,"savia",G:G)</f>
        <v>0</v>
      </c>
      <c r="O18" s="10" t="s">
        <v>76</v>
      </c>
      <c r="P18">
        <f>COUNTIF(B:B,"La Arena")</f>
        <v>0</v>
      </c>
    </row>
    <row r="19" spans="1:16" s="96" customFormat="1" x14ac:dyDescent="0.25">
      <c r="A19"/>
      <c r="B19"/>
      <c r="C19" s="141"/>
      <c r="D19" s="64"/>
      <c r="E19" s="80"/>
      <c r="F19" s="80"/>
      <c r="G19" s="114"/>
      <c r="H19" s="8"/>
      <c r="I19" s="8"/>
      <c r="J19" s="8"/>
      <c r="K19" s="8"/>
      <c r="L19" s="99"/>
      <c r="M19" s="10" t="s">
        <v>76</v>
      </c>
      <c r="N19" s="12">
        <f>SUMIF(B:B,"La Arena",G:G)</f>
        <v>0</v>
      </c>
      <c r="O19" s="10" t="s">
        <v>134</v>
      </c>
      <c r="P19">
        <f>COUNTIF(B:B,"engie")</f>
        <v>0</v>
      </c>
    </row>
    <row r="20" spans="1:16" ht="15" customHeight="1" x14ac:dyDescent="0.25">
      <c r="C20" s="141"/>
      <c r="D20" s="64"/>
      <c r="E20" s="80"/>
      <c r="F20" s="80"/>
      <c r="G20" s="114"/>
      <c r="H20" s="8"/>
      <c r="I20" s="8"/>
      <c r="J20" s="8"/>
      <c r="K20" s="8"/>
      <c r="L20" s="8"/>
      <c r="M20" s="10" t="s">
        <v>47</v>
      </c>
      <c r="N20" s="12">
        <f>SUMIF(B:B,"simsa",G:G)</f>
        <v>0</v>
      </c>
      <c r="O20" s="10" t="s">
        <v>147</v>
      </c>
      <c r="P20">
        <f>COUNTIF(B:B,"james")</f>
        <v>0</v>
      </c>
    </row>
    <row r="21" spans="1:16" x14ac:dyDescent="0.25">
      <c r="C21" s="141"/>
      <c r="D21" s="64"/>
      <c r="E21" s="80"/>
      <c r="F21" s="80"/>
      <c r="G21" s="114"/>
      <c r="H21" s="8"/>
      <c r="I21" s="8"/>
      <c r="J21" s="8"/>
      <c r="K21" s="8"/>
      <c r="L21" s="8"/>
      <c r="M21" s="10" t="s">
        <v>147</v>
      </c>
      <c r="N21" s="12">
        <f>SUMIF(B:B,"james",G:G)</f>
        <v>0</v>
      </c>
      <c r="O21" s="10" t="s">
        <v>153</v>
      </c>
      <c r="P21">
        <f>COUNTIF(B:B,"andalucita")</f>
        <v>0</v>
      </c>
    </row>
    <row r="22" spans="1:16" x14ac:dyDescent="0.25">
      <c r="C22" s="141"/>
      <c r="D22" s="64"/>
      <c r="E22" s="80"/>
      <c r="F22" s="80"/>
      <c r="G22" s="135"/>
      <c r="H22" s="8"/>
      <c r="I22" s="8"/>
      <c r="J22" s="8"/>
      <c r="K22" s="8"/>
      <c r="L22" s="8"/>
      <c r="M22" s="10" t="s">
        <v>134</v>
      </c>
      <c r="N22" s="12">
        <f>SUMIF(B:B,"engie",G:G)</f>
        <v>0</v>
      </c>
      <c r="O22" s="10" t="s">
        <v>47</v>
      </c>
      <c r="P22">
        <f>COUNTIF(B:B,"simsa")</f>
        <v>0</v>
      </c>
    </row>
    <row r="23" spans="1:16" x14ac:dyDescent="0.25">
      <c r="C23" s="141"/>
      <c r="D23" s="64"/>
      <c r="E23" s="80"/>
      <c r="F23" s="80"/>
      <c r="G23" s="114"/>
      <c r="H23" s="8"/>
      <c r="I23" s="8"/>
      <c r="J23" s="8"/>
      <c r="K23" s="8"/>
      <c r="L23" s="8"/>
    </row>
    <row r="24" spans="1:16" x14ac:dyDescent="0.25">
      <c r="C24" s="141"/>
      <c r="D24" s="64"/>
      <c r="E24" s="32"/>
      <c r="F24" s="32"/>
      <c r="G24" s="135"/>
      <c r="H24" s="8"/>
      <c r="I24" s="8"/>
      <c r="J24" s="8"/>
      <c r="K24" s="8"/>
      <c r="L24" s="8"/>
      <c r="N24" s="8"/>
    </row>
    <row r="25" spans="1:16" x14ac:dyDescent="0.25">
      <c r="C25" s="141"/>
      <c r="D25" s="64"/>
      <c r="E25" s="80"/>
      <c r="F25" s="80"/>
      <c r="G25" s="114"/>
      <c r="H25" s="8"/>
      <c r="I25" s="8"/>
      <c r="J25" s="8"/>
      <c r="K25" s="8"/>
      <c r="L25" s="8"/>
      <c r="M25" s="10" t="s">
        <v>17</v>
      </c>
      <c r="N25" s="9">
        <f>SUM(N4:N24)</f>
        <v>206170</v>
      </c>
      <c r="P25" s="11">
        <f>SUM(P4:P24)</f>
        <v>6</v>
      </c>
    </row>
    <row r="26" spans="1:16" x14ac:dyDescent="0.25">
      <c r="C26" s="141"/>
      <c r="D26" s="64"/>
      <c r="E26" s="80"/>
      <c r="F26" s="80"/>
      <c r="G26" s="114"/>
      <c r="H26" s="8"/>
      <c r="I26" s="8"/>
      <c r="J26" s="8"/>
      <c r="K26" s="8"/>
      <c r="L26" s="8"/>
    </row>
    <row r="27" spans="1:16" x14ac:dyDescent="0.25">
      <c r="C27" s="141"/>
      <c r="D27" s="64"/>
      <c r="E27" s="80"/>
      <c r="F27" s="80"/>
      <c r="G27" s="114"/>
      <c r="H27" s="8"/>
      <c r="I27" s="8"/>
      <c r="J27" s="8"/>
      <c r="K27" s="8"/>
      <c r="L27" s="8"/>
      <c r="N27" t="s">
        <v>45</v>
      </c>
      <c r="O27" t="s">
        <v>44</v>
      </c>
    </row>
    <row r="28" spans="1:16" x14ac:dyDescent="0.25">
      <c r="C28" s="141"/>
      <c r="D28" s="64"/>
      <c r="E28" s="80"/>
      <c r="F28" s="80"/>
      <c r="G28" s="114"/>
      <c r="H28" s="8"/>
      <c r="I28" s="8"/>
      <c r="J28" s="8"/>
      <c r="K28" s="8"/>
      <c r="L28" s="8"/>
      <c r="N28" s="9" t="s">
        <v>41</v>
      </c>
      <c r="O28" s="9">
        <f>SUM(H:H)</f>
        <v>51207.130000000005</v>
      </c>
    </row>
    <row r="29" spans="1:16" x14ac:dyDescent="0.25">
      <c r="C29" s="141"/>
      <c r="D29" s="64"/>
      <c r="E29" s="80"/>
      <c r="F29" s="80"/>
      <c r="G29" s="114"/>
      <c r="H29" s="8"/>
      <c r="I29" s="8"/>
      <c r="J29" s="8"/>
      <c r="K29" s="8"/>
      <c r="L29" s="8"/>
      <c r="N29" s="11" t="s">
        <v>57</v>
      </c>
      <c r="O29" s="9">
        <f>SUM(I:I)</f>
        <v>153720</v>
      </c>
    </row>
    <row r="30" spans="1:16" x14ac:dyDescent="0.25">
      <c r="C30" s="141"/>
      <c r="D30" s="64"/>
      <c r="E30" s="80"/>
      <c r="F30" s="80"/>
      <c r="G30" s="114"/>
      <c r="H30" s="8"/>
      <c r="I30" s="8"/>
      <c r="J30" s="8"/>
      <c r="K30" s="8"/>
      <c r="L30" s="8"/>
      <c r="N30" s="11" t="s">
        <v>42</v>
      </c>
      <c r="O30" s="9">
        <f>SUM(J:J)</f>
        <v>0</v>
      </c>
    </row>
    <row r="31" spans="1:16" x14ac:dyDescent="0.25">
      <c r="C31" s="141"/>
      <c r="D31" s="64"/>
      <c r="E31" s="80"/>
      <c r="F31" s="80"/>
      <c r="G31" s="114"/>
      <c r="H31" s="8"/>
      <c r="I31" s="8"/>
      <c r="J31" s="8"/>
      <c r="K31" s="8"/>
      <c r="L31" s="8"/>
      <c r="N31" s="11" t="s">
        <v>43</v>
      </c>
      <c r="O31" s="9">
        <f>SUM(K:K)</f>
        <v>29711.67</v>
      </c>
    </row>
    <row r="32" spans="1:16" x14ac:dyDescent="0.25">
      <c r="C32" s="141"/>
      <c r="D32" s="64"/>
      <c r="E32" s="80"/>
      <c r="F32" s="80"/>
      <c r="G32" s="114"/>
      <c r="H32" s="8"/>
      <c r="I32" s="8"/>
      <c r="J32" s="8"/>
      <c r="K32" s="8"/>
      <c r="L32" s="8"/>
      <c r="N32" s="8"/>
      <c r="O32" s="9">
        <f>SUM(O28:O31)</f>
        <v>234638.8</v>
      </c>
    </row>
    <row r="33" spans="3:16" x14ac:dyDescent="0.25">
      <c r="C33" s="141"/>
      <c r="D33" s="64"/>
      <c r="E33" s="80"/>
      <c r="F33" s="80"/>
      <c r="G33" s="114"/>
      <c r="H33" s="8"/>
      <c r="I33" s="8"/>
      <c r="J33" s="8"/>
      <c r="K33" s="8"/>
      <c r="L33" s="8"/>
    </row>
    <row r="34" spans="3:16" x14ac:dyDescent="0.25">
      <c r="C34" s="140"/>
      <c r="D34" s="64"/>
      <c r="E34" s="80"/>
      <c r="F34" s="80"/>
      <c r="G34" s="114"/>
      <c r="H34" s="8"/>
      <c r="I34" s="8"/>
      <c r="J34" s="8"/>
      <c r="K34" s="8"/>
      <c r="L34" s="8"/>
    </row>
    <row r="35" spans="3:16" x14ac:dyDescent="0.25">
      <c r="C35" s="140"/>
      <c r="D35" s="64"/>
      <c r="E35" s="80"/>
      <c r="F35" s="80"/>
      <c r="G35" s="114"/>
      <c r="H35" s="8"/>
      <c r="I35" s="8"/>
      <c r="J35" s="8"/>
      <c r="K35" s="8"/>
      <c r="L35" s="8"/>
    </row>
    <row r="36" spans="3:16" x14ac:dyDescent="0.25">
      <c r="C36" s="140"/>
      <c r="D36" s="64"/>
      <c r="E36" s="80"/>
      <c r="F36" s="80"/>
      <c r="G36" s="114"/>
      <c r="H36" s="8"/>
      <c r="I36" s="8"/>
      <c r="J36" s="8"/>
      <c r="K36" s="8"/>
      <c r="L36" s="8"/>
    </row>
    <row r="37" spans="3:16" x14ac:dyDescent="0.25">
      <c r="C37" s="140"/>
      <c r="D37" s="64"/>
      <c r="E37" s="80"/>
      <c r="F37" s="80"/>
      <c r="G37" s="114"/>
      <c r="H37" s="8"/>
      <c r="I37" s="8"/>
      <c r="J37" s="8"/>
      <c r="K37" s="8"/>
      <c r="L37" s="8"/>
    </row>
    <row r="38" spans="3:16" x14ac:dyDescent="0.25">
      <c r="C38" s="140"/>
      <c r="D38" s="64"/>
      <c r="E38" s="80"/>
      <c r="F38" s="80"/>
      <c r="G38" s="114"/>
      <c r="H38" s="8"/>
      <c r="I38" s="8"/>
      <c r="J38" s="8"/>
      <c r="K38" s="8"/>
      <c r="L38" s="8"/>
    </row>
    <row r="39" spans="3:16" ht="15.75" thickBot="1" x14ac:dyDescent="0.3">
      <c r="C39" s="140"/>
      <c r="D39" s="64"/>
      <c r="E39" s="80"/>
      <c r="F39" s="80"/>
      <c r="G39" s="114"/>
      <c r="H39" s="8"/>
      <c r="I39" s="8"/>
      <c r="J39" s="8"/>
      <c r="K39" s="8"/>
      <c r="L39" s="8"/>
    </row>
    <row r="40" spans="3:16" ht="19.5" thickBot="1" x14ac:dyDescent="0.35">
      <c r="C40" s="140"/>
      <c r="D40" s="64"/>
      <c r="E40" s="80"/>
      <c r="F40" s="80"/>
      <c r="G40" s="114"/>
      <c r="H40" s="8"/>
      <c r="I40" s="8"/>
      <c r="J40" s="8"/>
      <c r="K40" s="8"/>
      <c r="L40" s="8"/>
      <c r="N40" s="37" t="s">
        <v>59</v>
      </c>
      <c r="O40" s="38">
        <f>P58</f>
        <v>0</v>
      </c>
    </row>
    <row r="41" spans="3:16" ht="15.75" thickBot="1" x14ac:dyDescent="0.3">
      <c r="C41" s="140"/>
      <c r="D41" s="64"/>
      <c r="E41" s="80"/>
      <c r="F41" s="80"/>
      <c r="G41" s="114"/>
      <c r="H41" s="8"/>
      <c r="I41" s="8"/>
      <c r="J41" s="8"/>
      <c r="K41" s="8"/>
      <c r="L41" s="8"/>
    </row>
    <row r="42" spans="3:16" ht="21.75" thickBot="1" x14ac:dyDescent="0.4">
      <c r="C42" s="140"/>
      <c r="D42" s="64"/>
      <c r="E42" s="80"/>
      <c r="F42" s="80"/>
      <c r="G42" s="114"/>
      <c r="H42" s="8"/>
      <c r="I42" s="8"/>
      <c r="J42" s="8"/>
      <c r="K42" s="8"/>
      <c r="L42" s="8"/>
      <c r="N42" s="34" t="s">
        <v>64</v>
      </c>
      <c r="O42" s="35">
        <f>O29+O31</f>
        <v>183431.66999999998</v>
      </c>
    </row>
    <row r="43" spans="3:16" x14ac:dyDescent="0.25">
      <c r="C43" s="140"/>
      <c r="D43" s="64"/>
      <c r="E43" s="80"/>
      <c r="F43" s="80"/>
      <c r="G43" s="114"/>
      <c r="H43" s="8"/>
      <c r="I43" s="8"/>
      <c r="J43" s="8"/>
      <c r="K43" s="8"/>
      <c r="L43" s="8"/>
      <c r="N43" s="36">
        <f ca="1">NOW()</f>
        <v>46237.384116435183</v>
      </c>
    </row>
    <row r="44" spans="3:16" ht="15.75" thickBot="1" x14ac:dyDescent="0.3">
      <c r="C44" s="140"/>
      <c r="D44" s="64"/>
      <c r="E44" s="80"/>
      <c r="F44" s="80"/>
      <c r="G44" s="114"/>
      <c r="H44" s="8"/>
      <c r="I44" s="8"/>
      <c r="J44" s="8"/>
      <c r="K44" s="8"/>
      <c r="L44" s="8"/>
    </row>
    <row r="45" spans="3:16" ht="19.5" thickBot="1" x14ac:dyDescent="0.35">
      <c r="C45" s="140"/>
      <c r="D45" s="64"/>
      <c r="E45" s="80"/>
      <c r="F45" s="80"/>
      <c r="G45" s="114"/>
      <c r="H45" s="8"/>
      <c r="I45" s="8"/>
      <c r="J45" s="8"/>
      <c r="K45" s="8"/>
      <c r="L45" s="8"/>
      <c r="N45" s="155" t="s">
        <v>60</v>
      </c>
      <c r="O45" s="156"/>
      <c r="P45" s="157"/>
    </row>
    <row r="46" spans="3:16" ht="19.5" thickBot="1" x14ac:dyDescent="0.35">
      <c r="C46" s="140"/>
      <c r="D46" s="64"/>
      <c r="E46" s="80"/>
      <c r="F46" s="80"/>
      <c r="G46" s="114"/>
      <c r="H46" s="8"/>
      <c r="I46" s="8"/>
      <c r="J46" s="8"/>
      <c r="K46" s="8"/>
      <c r="L46" s="8"/>
      <c r="N46" s="37" t="s">
        <v>61</v>
      </c>
      <c r="O46" s="37" t="s">
        <v>62</v>
      </c>
      <c r="P46" s="39" t="s">
        <v>8</v>
      </c>
    </row>
    <row r="47" spans="3:16" x14ac:dyDescent="0.25">
      <c r="C47" s="140"/>
      <c r="D47" s="64"/>
      <c r="E47" s="80"/>
      <c r="F47" s="80"/>
      <c r="G47" s="114"/>
      <c r="H47" s="8"/>
      <c r="I47" s="8"/>
      <c r="J47" s="8"/>
      <c r="K47" s="8"/>
      <c r="L47" s="8"/>
      <c r="N47" s="8" t="s">
        <v>109</v>
      </c>
      <c r="O47" t="s">
        <v>121</v>
      </c>
      <c r="P47" s="43"/>
    </row>
    <row r="48" spans="3:16" x14ac:dyDescent="0.25">
      <c r="C48" s="140"/>
      <c r="D48" s="64"/>
      <c r="E48" s="80"/>
      <c r="F48" s="80"/>
      <c r="G48" s="114"/>
      <c r="H48" s="8"/>
      <c r="I48" s="8"/>
      <c r="J48" s="8"/>
      <c r="K48" s="8"/>
      <c r="L48" s="8"/>
      <c r="N48" s="41"/>
      <c r="O48" s="8"/>
      <c r="P48" s="43"/>
    </row>
    <row r="49" spans="2:16" x14ac:dyDescent="0.25">
      <c r="C49" s="140"/>
      <c r="D49" s="64"/>
      <c r="E49" s="80"/>
      <c r="F49" s="80"/>
      <c r="G49" s="114"/>
      <c r="H49" s="8"/>
      <c r="I49" s="8"/>
      <c r="J49" s="8"/>
      <c r="K49" s="8"/>
      <c r="L49" s="8"/>
      <c r="N49" s="41"/>
      <c r="O49" s="42"/>
      <c r="P49" s="43"/>
    </row>
    <row r="50" spans="2:16" x14ac:dyDescent="0.25">
      <c r="C50" s="140"/>
      <c r="D50" s="64"/>
      <c r="E50" s="80"/>
      <c r="F50" s="80"/>
      <c r="G50" s="114"/>
      <c r="H50" s="8"/>
      <c r="I50" s="8"/>
      <c r="J50" s="8"/>
      <c r="K50" s="8"/>
      <c r="L50" s="8"/>
      <c r="N50" s="41"/>
      <c r="O50" s="42"/>
      <c r="P50" s="43"/>
    </row>
    <row r="51" spans="2:16" x14ac:dyDescent="0.25">
      <c r="C51" s="140"/>
      <c r="D51" s="64"/>
      <c r="E51" s="80"/>
      <c r="F51" s="80"/>
      <c r="G51" s="114"/>
      <c r="H51" s="8"/>
      <c r="I51" s="8"/>
      <c r="J51" s="8"/>
      <c r="K51" s="8"/>
      <c r="N51" s="41"/>
      <c r="O51" s="42"/>
      <c r="P51" s="43"/>
    </row>
    <row r="52" spans="2:16" x14ac:dyDescent="0.25">
      <c r="C52" s="140"/>
      <c r="D52" s="64"/>
      <c r="E52" s="80"/>
      <c r="F52" s="80"/>
      <c r="G52" s="114"/>
      <c r="H52" s="8"/>
      <c r="I52" s="8"/>
      <c r="J52" s="8"/>
      <c r="K52" s="8"/>
      <c r="N52" s="41"/>
      <c r="O52" s="42"/>
      <c r="P52" s="43"/>
    </row>
    <row r="53" spans="2:16" x14ac:dyDescent="0.25">
      <c r="C53" s="140"/>
      <c r="D53" s="64"/>
      <c r="E53" s="80"/>
      <c r="F53" s="80"/>
      <c r="G53" s="114"/>
      <c r="H53" s="8"/>
      <c r="I53" s="8"/>
      <c r="J53" s="8"/>
      <c r="K53" s="8"/>
      <c r="N53" s="41"/>
      <c r="O53" s="42"/>
      <c r="P53" s="43"/>
    </row>
    <row r="54" spans="2:16" x14ac:dyDescent="0.25">
      <c r="C54" s="140"/>
      <c r="D54" s="64"/>
      <c r="E54" s="80"/>
      <c r="F54" s="80"/>
      <c r="G54" s="114"/>
      <c r="H54" s="8"/>
      <c r="I54" s="8"/>
      <c r="J54" s="8"/>
      <c r="K54" s="8"/>
      <c r="N54" s="41"/>
      <c r="O54" s="42"/>
      <c r="P54" s="43"/>
    </row>
    <row r="55" spans="2:16" x14ac:dyDescent="0.25">
      <c r="C55" s="140"/>
      <c r="D55" s="64"/>
      <c r="E55" s="80"/>
      <c r="F55" s="80"/>
      <c r="G55" s="114"/>
      <c r="H55" s="8"/>
      <c r="I55" s="8"/>
      <c r="J55" s="8"/>
      <c r="K55" s="8"/>
      <c r="N55" s="41"/>
      <c r="O55" s="42"/>
      <c r="P55" s="43"/>
    </row>
    <row r="56" spans="2:16" x14ac:dyDescent="0.25">
      <c r="C56" s="140"/>
      <c r="D56" s="64"/>
      <c r="E56" s="80"/>
      <c r="F56" s="80"/>
      <c r="G56" s="114"/>
      <c r="H56" s="8"/>
      <c r="I56" s="8"/>
      <c r="J56" s="8"/>
      <c r="K56" s="8"/>
      <c r="N56" s="41"/>
      <c r="O56" s="42"/>
      <c r="P56" s="43"/>
    </row>
    <row r="57" spans="2:16" ht="15.75" thickBot="1" x14ac:dyDescent="0.3">
      <c r="C57" s="140"/>
      <c r="D57" s="64"/>
      <c r="E57" s="80"/>
      <c r="F57" s="80"/>
      <c r="G57" s="114"/>
      <c r="H57" s="8"/>
      <c r="I57" s="8"/>
      <c r="J57" s="8"/>
      <c r="K57" s="8"/>
      <c r="N57" s="44"/>
      <c r="O57" s="45"/>
      <c r="P57" s="46"/>
    </row>
    <row r="58" spans="2:16" x14ac:dyDescent="0.25">
      <c r="C58" s="140"/>
      <c r="D58" s="64"/>
      <c r="E58" s="80"/>
      <c r="F58" s="80"/>
      <c r="G58" s="114"/>
      <c r="H58" s="8"/>
      <c r="I58" s="8"/>
      <c r="J58" s="8"/>
      <c r="K58" s="8"/>
      <c r="P58" s="9">
        <f>SUM(P47:P57)</f>
        <v>0</v>
      </c>
    </row>
    <row r="59" spans="2:16" x14ac:dyDescent="0.25">
      <c r="C59" s="140"/>
      <c r="D59" s="64"/>
      <c r="E59" s="80"/>
      <c r="F59" s="80"/>
      <c r="G59" s="114"/>
      <c r="H59" s="8"/>
      <c r="I59" s="8"/>
      <c r="J59" s="8"/>
      <c r="K59" s="8"/>
    </row>
    <row r="60" spans="2:16" x14ac:dyDescent="0.25">
      <c r="C60" s="140"/>
      <c r="D60" s="64"/>
      <c r="E60" s="80"/>
      <c r="F60" s="80"/>
      <c r="G60" s="114"/>
      <c r="H60" s="8"/>
      <c r="I60" s="8"/>
      <c r="J60" s="8"/>
      <c r="K60" s="8"/>
    </row>
    <row r="61" spans="2:16" x14ac:dyDescent="0.25">
      <c r="B61" s="96"/>
      <c r="D61" s="64"/>
      <c r="E61" s="98"/>
      <c r="F61" s="98"/>
      <c r="G61" s="8"/>
      <c r="H61" s="8"/>
      <c r="I61" s="8"/>
      <c r="J61" s="8"/>
      <c r="K61" s="8"/>
    </row>
    <row r="62" spans="2:16" x14ac:dyDescent="0.25">
      <c r="B62" s="96"/>
      <c r="D62" s="64"/>
      <c r="E62" s="98"/>
      <c r="F62" s="98"/>
      <c r="G62" s="8"/>
      <c r="H62" s="8"/>
      <c r="I62" s="8"/>
      <c r="J62" s="8"/>
      <c r="K62" s="8"/>
    </row>
    <row r="63" spans="2:16" x14ac:dyDescent="0.25">
      <c r="B63" s="96"/>
      <c r="D63" s="64"/>
      <c r="E63" s="98"/>
      <c r="F63" s="98"/>
      <c r="G63" s="8"/>
      <c r="H63" s="8"/>
      <c r="I63" s="8"/>
      <c r="J63" s="8"/>
      <c r="K63" s="8"/>
    </row>
    <row r="64" spans="2:16" x14ac:dyDescent="0.25">
      <c r="B64" s="96"/>
      <c r="D64" s="64"/>
      <c r="E64" s="98"/>
      <c r="F64" s="98"/>
      <c r="G64" s="8"/>
      <c r="H64" s="8"/>
      <c r="I64" s="8"/>
      <c r="J64" s="8"/>
      <c r="K64" s="8"/>
    </row>
    <row r="65" spans="4:11" x14ac:dyDescent="0.25">
      <c r="D65" s="64"/>
      <c r="E65" s="33"/>
      <c r="F65" s="33"/>
      <c r="G65" s="8"/>
      <c r="H65" s="8"/>
      <c r="I65" s="8"/>
      <c r="J65" s="8"/>
      <c r="K65" s="8"/>
    </row>
    <row r="66" spans="4:11" x14ac:dyDescent="0.25">
      <c r="D66" s="64"/>
      <c r="E66" s="33"/>
      <c r="F66" s="33"/>
      <c r="G66" s="8"/>
      <c r="H66" s="8"/>
      <c r="I66" s="8"/>
      <c r="J66" s="8"/>
      <c r="K66" s="8"/>
    </row>
    <row r="67" spans="4:11" x14ac:dyDescent="0.25">
      <c r="D67" s="64"/>
      <c r="E67" s="33"/>
      <c r="F67" s="33"/>
      <c r="G67" s="8"/>
      <c r="H67" s="8"/>
      <c r="I67" s="8"/>
      <c r="J67" s="8"/>
      <c r="K67" s="8"/>
    </row>
    <row r="68" spans="4:11" x14ac:dyDescent="0.25">
      <c r="D68" s="64"/>
      <c r="E68" s="33"/>
      <c r="F68" s="33"/>
      <c r="G68" s="8"/>
      <c r="H68" s="8"/>
      <c r="I68" s="8"/>
      <c r="J68" s="8"/>
      <c r="K68" s="8"/>
    </row>
    <row r="69" spans="4:11" x14ac:dyDescent="0.25">
      <c r="D69" s="64"/>
      <c r="E69" s="33"/>
      <c r="F69" s="33"/>
      <c r="G69" s="8"/>
      <c r="H69" s="8"/>
      <c r="I69" s="8"/>
      <c r="J69" s="8"/>
      <c r="K69" s="8"/>
    </row>
    <row r="70" spans="4:11" x14ac:dyDescent="0.25">
      <c r="D70" s="64"/>
      <c r="E70" s="33"/>
      <c r="F70" s="33"/>
      <c r="G70" s="8"/>
      <c r="H70" s="8"/>
      <c r="I70" s="8"/>
      <c r="J70" s="8"/>
      <c r="K70" s="8"/>
    </row>
    <row r="71" spans="4:11" x14ac:dyDescent="0.25">
      <c r="D71" s="64"/>
      <c r="E71" s="33"/>
      <c r="F71" s="33"/>
      <c r="G71" s="8"/>
      <c r="H71" s="8"/>
      <c r="I71" s="8"/>
      <c r="J71" s="8"/>
      <c r="K71" s="8"/>
    </row>
    <row r="72" spans="4:11" x14ac:dyDescent="0.25">
      <c r="D72" s="64"/>
      <c r="E72" s="33"/>
      <c r="F72" s="33"/>
      <c r="G72" s="8"/>
      <c r="H72" s="8"/>
      <c r="I72" s="8"/>
      <c r="J72" s="8"/>
      <c r="K72" s="8"/>
    </row>
    <row r="73" spans="4:11" x14ac:dyDescent="0.25">
      <c r="D73" s="64"/>
      <c r="E73" s="33"/>
      <c r="F73" s="33"/>
      <c r="G73" s="8"/>
      <c r="H73" s="8"/>
      <c r="I73" s="8"/>
      <c r="J73" s="8"/>
      <c r="K73" s="8"/>
    </row>
    <row r="74" spans="4:11" x14ac:dyDescent="0.25">
      <c r="D74" s="64"/>
      <c r="E74" s="33"/>
      <c r="F74" s="33"/>
      <c r="G74" s="8"/>
      <c r="H74" s="8"/>
      <c r="I74" s="8"/>
      <c r="J74" s="8"/>
      <c r="K74" s="8"/>
    </row>
    <row r="75" spans="4:11" x14ac:dyDescent="0.25">
      <c r="D75" s="64"/>
      <c r="E75" s="33"/>
      <c r="F75" s="33"/>
      <c r="G75" s="8"/>
      <c r="H75" s="8"/>
      <c r="I75" s="8"/>
      <c r="J75" s="8"/>
      <c r="K75" s="8"/>
    </row>
    <row r="76" spans="4:11" x14ac:dyDescent="0.25">
      <c r="D76" s="64"/>
      <c r="E76" s="33"/>
      <c r="F76" s="33"/>
      <c r="G76" s="8"/>
      <c r="H76" s="8"/>
      <c r="I76" s="8"/>
      <c r="J76" s="8"/>
      <c r="K76" s="8"/>
    </row>
    <row r="77" spans="4:11" x14ac:dyDescent="0.25">
      <c r="D77" s="64"/>
      <c r="E77" s="33"/>
      <c r="F77" s="33"/>
      <c r="G77" s="8"/>
      <c r="H77" s="8"/>
      <c r="I77" s="8"/>
      <c r="J77" s="8"/>
      <c r="K77" s="8"/>
    </row>
    <row r="78" spans="4:11" x14ac:dyDescent="0.25">
      <c r="D78" s="64"/>
      <c r="E78" s="33"/>
      <c r="F78" s="33"/>
      <c r="G78" s="8"/>
      <c r="H78" s="8"/>
      <c r="I78" s="8"/>
      <c r="J78" s="8"/>
      <c r="K78" s="8"/>
    </row>
    <row r="79" spans="4:11" x14ac:dyDescent="0.25">
      <c r="D79" s="64"/>
      <c r="E79" s="33"/>
      <c r="F79" s="33"/>
      <c r="G79" s="8"/>
      <c r="H79" s="8"/>
      <c r="I79" s="8"/>
      <c r="J79" s="8"/>
      <c r="K79" s="8"/>
    </row>
    <row r="80" spans="4:11" x14ac:dyDescent="0.25">
      <c r="D80" s="64"/>
      <c r="E80" s="33"/>
      <c r="F80" s="33"/>
      <c r="G80" s="8"/>
      <c r="H80" s="8"/>
      <c r="I80" s="8"/>
      <c r="J80" s="8"/>
      <c r="K80" s="8"/>
    </row>
    <row r="81" spans="4:11" x14ac:dyDescent="0.25">
      <c r="D81" s="64"/>
      <c r="E81" s="33"/>
      <c r="F81" s="33"/>
      <c r="G81" s="8"/>
      <c r="H81" s="8"/>
      <c r="I81" s="8"/>
      <c r="J81" s="8"/>
      <c r="K81" s="8"/>
    </row>
    <row r="82" spans="4:11" x14ac:dyDescent="0.25">
      <c r="D82" s="64"/>
      <c r="E82" s="33"/>
      <c r="F82" s="33"/>
      <c r="G82" s="8"/>
      <c r="H82" s="8"/>
      <c r="I82" s="8"/>
      <c r="J82" s="8"/>
      <c r="K82" s="8"/>
    </row>
    <row r="83" spans="4:11" x14ac:dyDescent="0.25">
      <c r="D83" s="64"/>
      <c r="E83" s="33"/>
      <c r="F83" s="33"/>
      <c r="G83" s="8"/>
      <c r="H83" s="8"/>
      <c r="I83" s="8"/>
      <c r="J83" s="8"/>
      <c r="K83" s="8"/>
    </row>
    <row r="84" spans="4:11" x14ac:dyDescent="0.25">
      <c r="D84" s="64"/>
      <c r="E84" s="33"/>
      <c r="F84" s="33"/>
      <c r="G84" s="8"/>
      <c r="H84" s="8"/>
      <c r="I84" s="8"/>
      <c r="J84" s="8"/>
      <c r="K84" s="8"/>
    </row>
    <row r="85" spans="4:11" x14ac:dyDescent="0.25">
      <c r="D85" s="64"/>
      <c r="E85" s="33"/>
      <c r="F85" s="33"/>
      <c r="G85" s="8"/>
      <c r="H85" s="8"/>
      <c r="I85" s="8"/>
      <c r="J85" s="8"/>
      <c r="K85" s="8"/>
    </row>
    <row r="86" spans="4:11" x14ac:dyDescent="0.25">
      <c r="D86" s="64"/>
      <c r="E86" s="33"/>
      <c r="F86" s="33"/>
      <c r="G86" s="8"/>
      <c r="H86" s="8"/>
      <c r="I86" s="8"/>
      <c r="J86" s="8"/>
      <c r="K86" s="8"/>
    </row>
    <row r="87" spans="4:11" x14ac:dyDescent="0.25">
      <c r="D87" s="64"/>
      <c r="E87" s="33"/>
      <c r="F87" s="33"/>
      <c r="G87" s="8"/>
      <c r="H87" s="8"/>
      <c r="I87" s="8"/>
      <c r="J87" s="8"/>
      <c r="K87" s="8"/>
    </row>
    <row r="88" spans="4:11" x14ac:dyDescent="0.25">
      <c r="D88" s="64"/>
      <c r="E88" s="33"/>
      <c r="F88" s="33"/>
      <c r="G88" s="8"/>
      <c r="H88" s="8"/>
      <c r="I88" s="8"/>
      <c r="J88" s="8"/>
      <c r="K88" s="8"/>
    </row>
    <row r="89" spans="4:11" x14ac:dyDescent="0.25">
      <c r="D89" s="64"/>
      <c r="E89" s="33"/>
      <c r="F89" s="33"/>
      <c r="G89" s="8"/>
      <c r="H89" s="8"/>
      <c r="I89" s="8"/>
      <c r="J89" s="8"/>
      <c r="K89" s="8"/>
    </row>
    <row r="90" spans="4:11" x14ac:dyDescent="0.25">
      <c r="D90" s="64"/>
      <c r="E90" s="33"/>
      <c r="F90" s="33"/>
      <c r="G90" s="8"/>
      <c r="H90" s="8"/>
      <c r="I90" s="8"/>
      <c r="J90" s="8"/>
      <c r="K90" s="8"/>
    </row>
    <row r="91" spans="4:11" x14ac:dyDescent="0.25">
      <c r="D91" s="64"/>
      <c r="E91" s="33"/>
      <c r="F91" s="33"/>
      <c r="G91" s="8"/>
      <c r="H91" s="8"/>
      <c r="I91" s="8"/>
      <c r="J91" s="8"/>
      <c r="K91" s="8"/>
    </row>
    <row r="92" spans="4:11" x14ac:dyDescent="0.25">
      <c r="E92" s="33"/>
      <c r="F92" s="33"/>
      <c r="G92" s="8"/>
      <c r="H92" s="8"/>
      <c r="I92" s="8"/>
      <c r="J92" s="8"/>
      <c r="K92" s="8"/>
    </row>
    <row r="93" spans="4:11" x14ac:dyDescent="0.25">
      <c r="E93" s="33"/>
      <c r="F93" s="33"/>
      <c r="G93" s="8"/>
      <c r="H93" s="8"/>
      <c r="I93" s="8"/>
      <c r="J93" s="8"/>
      <c r="K93" s="8"/>
    </row>
    <row r="94" spans="4:11" x14ac:dyDescent="0.25">
      <c r="E94" s="33"/>
      <c r="F94" s="33"/>
      <c r="G94" s="8"/>
      <c r="H94" s="8"/>
      <c r="I94" s="8"/>
      <c r="J94" s="8"/>
      <c r="K94" s="8"/>
    </row>
    <row r="95" spans="4:11" x14ac:dyDescent="0.25">
      <c r="E95" s="33"/>
      <c r="F95" s="33"/>
      <c r="G95" s="8"/>
      <c r="H95" s="8"/>
      <c r="I95" s="8"/>
      <c r="J95" s="8"/>
      <c r="K95" s="8"/>
    </row>
    <row r="96" spans="4:11" x14ac:dyDescent="0.25">
      <c r="E96" s="33"/>
      <c r="F96" s="33"/>
      <c r="G96" s="8"/>
      <c r="H96" s="8"/>
      <c r="I96" s="8"/>
      <c r="J96" s="8"/>
      <c r="K96" s="8"/>
    </row>
    <row r="97" spans="5:11" x14ac:dyDescent="0.25">
      <c r="E97" s="33"/>
      <c r="F97" s="33"/>
      <c r="G97" s="8"/>
      <c r="H97" s="8"/>
      <c r="I97" s="8"/>
      <c r="J97" s="8"/>
      <c r="K97" s="8"/>
    </row>
    <row r="98" spans="5:11" x14ac:dyDescent="0.25">
      <c r="E98" s="33"/>
      <c r="F98" s="33"/>
      <c r="G98" s="8"/>
      <c r="H98" s="8"/>
      <c r="I98" s="8"/>
      <c r="J98" s="8"/>
      <c r="K98" s="8"/>
    </row>
    <row r="99" spans="5:11" x14ac:dyDescent="0.25">
      <c r="E99" s="33"/>
      <c r="F99" s="33"/>
      <c r="G99" s="8"/>
      <c r="H99" s="8"/>
      <c r="I99" s="8"/>
      <c r="J99" s="8"/>
      <c r="K99" s="8"/>
    </row>
    <row r="100" spans="5:11" x14ac:dyDescent="0.25">
      <c r="E100" s="33"/>
      <c r="F100" s="33"/>
      <c r="G100" s="8"/>
      <c r="H100" s="8"/>
      <c r="I100" s="8"/>
      <c r="J100" s="8"/>
      <c r="K100" s="8"/>
    </row>
    <row r="101" spans="5:11" x14ac:dyDescent="0.25">
      <c r="E101" s="33"/>
      <c r="F101" s="33"/>
      <c r="G101" s="8"/>
      <c r="H101" s="8"/>
      <c r="I101" s="8"/>
      <c r="J101" s="8"/>
      <c r="K101" s="8"/>
    </row>
    <row r="102" spans="5:11" x14ac:dyDescent="0.25">
      <c r="E102" s="33"/>
      <c r="F102" s="33"/>
      <c r="G102" s="8"/>
      <c r="H102" s="8"/>
      <c r="I102" s="8"/>
      <c r="J102" s="8"/>
      <c r="K102" s="8"/>
    </row>
    <row r="103" spans="5:11" x14ac:dyDescent="0.25">
      <c r="E103" s="33"/>
      <c r="F103" s="33"/>
      <c r="G103" s="8"/>
      <c r="H103" s="8"/>
      <c r="I103" s="8"/>
      <c r="J103" s="8"/>
      <c r="K103" s="8"/>
    </row>
    <row r="104" spans="5:11" x14ac:dyDescent="0.25">
      <c r="E104" s="33"/>
      <c r="F104" s="33"/>
      <c r="G104" s="8"/>
      <c r="H104" s="8"/>
      <c r="I104" s="8"/>
      <c r="J104" s="8"/>
      <c r="K104" s="8"/>
    </row>
    <row r="105" spans="5:11" x14ac:dyDescent="0.25">
      <c r="E105" s="33"/>
      <c r="F105" s="33"/>
      <c r="G105" s="8"/>
      <c r="H105" s="8"/>
      <c r="I105" s="8"/>
      <c r="J105" s="8"/>
      <c r="K105" s="8"/>
    </row>
    <row r="106" spans="5:11" x14ac:dyDescent="0.25">
      <c r="E106" s="33"/>
      <c r="F106" s="33"/>
      <c r="G106" s="8"/>
      <c r="H106" s="8"/>
      <c r="I106" s="8"/>
      <c r="J106" s="8"/>
      <c r="K106" s="8"/>
    </row>
    <row r="107" spans="5:11" x14ac:dyDescent="0.25">
      <c r="E107" s="33"/>
      <c r="F107" s="33"/>
      <c r="G107" s="8"/>
      <c r="H107" s="8"/>
      <c r="I107" s="8"/>
      <c r="J107" s="8"/>
      <c r="K107" s="8"/>
    </row>
    <row r="108" spans="5:11" x14ac:dyDescent="0.25">
      <c r="E108" s="33"/>
      <c r="F108" s="33"/>
      <c r="G108" s="8"/>
      <c r="H108" s="8"/>
      <c r="I108" s="8"/>
      <c r="J108" s="8"/>
      <c r="K108" s="8"/>
    </row>
    <row r="109" spans="5:11" x14ac:dyDescent="0.25">
      <c r="E109" s="33"/>
      <c r="F109" s="33"/>
      <c r="G109" s="8"/>
      <c r="H109" s="8"/>
      <c r="I109" s="8"/>
      <c r="J109" s="8"/>
      <c r="K109" s="8"/>
    </row>
    <row r="110" spans="5:11" x14ac:dyDescent="0.25">
      <c r="E110" s="33"/>
      <c r="F110" s="33"/>
      <c r="G110" s="8"/>
      <c r="H110" s="8"/>
      <c r="I110" s="8"/>
      <c r="J110" s="8"/>
      <c r="K110" s="8"/>
    </row>
    <row r="111" spans="5:11" x14ac:dyDescent="0.25">
      <c r="E111" s="33"/>
      <c r="F111" s="33"/>
      <c r="G111" s="8"/>
      <c r="H111" s="8"/>
      <c r="I111" s="8"/>
      <c r="J111" s="8"/>
      <c r="K111" s="8"/>
    </row>
    <row r="112" spans="5:11" x14ac:dyDescent="0.25">
      <c r="E112" s="33"/>
      <c r="F112" s="33"/>
      <c r="G112" s="8"/>
      <c r="H112" s="8"/>
      <c r="I112" s="8"/>
      <c r="J112" s="8"/>
      <c r="K112" s="8"/>
    </row>
    <row r="113" spans="5:11" x14ac:dyDescent="0.25">
      <c r="E113" s="33"/>
      <c r="F113" s="33"/>
      <c r="G113" s="8"/>
      <c r="H113" s="8"/>
      <c r="I113" s="8"/>
      <c r="J113" s="8"/>
      <c r="K113" s="8"/>
    </row>
    <row r="114" spans="5:11" x14ac:dyDescent="0.25">
      <c r="E114" s="33"/>
      <c r="F114" s="33"/>
      <c r="G114" s="8"/>
      <c r="H114" s="8"/>
      <c r="I114" s="8"/>
      <c r="J114" s="8"/>
      <c r="K114" s="8"/>
    </row>
    <row r="115" spans="5:11" x14ac:dyDescent="0.25">
      <c r="E115" s="33"/>
      <c r="F115" s="33"/>
      <c r="G115" s="8"/>
      <c r="H115" s="8"/>
      <c r="I115" s="8"/>
      <c r="J115" s="8"/>
      <c r="K115" s="8"/>
    </row>
    <row r="116" spans="5:11" x14ac:dyDescent="0.25">
      <c r="E116" s="33"/>
      <c r="F116" s="33"/>
      <c r="G116" s="8"/>
      <c r="H116" s="8"/>
      <c r="I116" s="8"/>
      <c r="J116" s="8"/>
      <c r="K116" s="8"/>
    </row>
    <row r="117" spans="5:11" x14ac:dyDescent="0.25">
      <c r="E117" s="33"/>
      <c r="F117" s="33"/>
      <c r="G117" s="8"/>
      <c r="H117" s="8"/>
      <c r="I117" s="8"/>
      <c r="J117" s="8"/>
      <c r="K117" s="8"/>
    </row>
    <row r="118" spans="5:11" x14ac:dyDescent="0.25">
      <c r="E118" s="33"/>
      <c r="F118" s="33"/>
      <c r="G118" s="8"/>
      <c r="H118" s="8"/>
      <c r="I118" s="8"/>
      <c r="J118" s="8"/>
      <c r="K118" s="8"/>
    </row>
    <row r="119" spans="5:11" x14ac:dyDescent="0.25">
      <c r="E119" s="33"/>
      <c r="F119" s="33"/>
      <c r="G119" s="8"/>
      <c r="H119" s="8"/>
      <c r="I119" s="8"/>
      <c r="J119" s="8"/>
      <c r="K119" s="8"/>
    </row>
    <row r="120" spans="5:11" x14ac:dyDescent="0.25">
      <c r="E120" s="33"/>
      <c r="F120" s="33"/>
      <c r="G120" s="8"/>
      <c r="H120" s="8"/>
      <c r="I120" s="8"/>
      <c r="J120" s="8"/>
      <c r="K120" s="8"/>
    </row>
    <row r="121" spans="5:11" x14ac:dyDescent="0.25">
      <c r="E121" s="33"/>
      <c r="F121" s="33"/>
      <c r="G121" s="8"/>
      <c r="H121" s="8"/>
      <c r="I121" s="8"/>
      <c r="J121" s="8"/>
      <c r="K121" s="8"/>
    </row>
    <row r="122" spans="5:11" x14ac:dyDescent="0.25">
      <c r="E122" s="33"/>
      <c r="F122" s="33"/>
      <c r="G122" s="8"/>
      <c r="H122" s="8"/>
      <c r="I122" s="8"/>
      <c r="J122" s="8"/>
      <c r="K122" s="8"/>
    </row>
    <row r="123" spans="5:11" x14ac:dyDescent="0.25">
      <c r="E123" s="33"/>
      <c r="F123" s="33"/>
      <c r="G123" s="8"/>
      <c r="H123" s="8"/>
      <c r="I123" s="8"/>
      <c r="J123" s="8"/>
      <c r="K123" s="8"/>
    </row>
    <row r="124" spans="5:11" x14ac:dyDescent="0.25">
      <c r="E124" s="33"/>
      <c r="F124" s="33"/>
      <c r="G124" s="8"/>
      <c r="H124" s="8"/>
      <c r="I124" s="8"/>
      <c r="J124" s="8"/>
      <c r="K124" s="8"/>
    </row>
    <row r="125" spans="5:11" x14ac:dyDescent="0.25">
      <c r="E125" s="33"/>
      <c r="F125" s="33"/>
      <c r="G125" s="8"/>
      <c r="H125" s="8"/>
      <c r="I125" s="8"/>
      <c r="J125" s="8"/>
      <c r="K125" s="8"/>
    </row>
    <row r="126" spans="5:11" x14ac:dyDescent="0.25">
      <c r="E126" s="33"/>
      <c r="F126" s="33"/>
      <c r="G126" s="8"/>
      <c r="H126" s="8"/>
      <c r="I126" s="8"/>
      <c r="J126" s="8"/>
      <c r="K126" s="8"/>
    </row>
    <row r="127" spans="5:11" x14ac:dyDescent="0.25">
      <c r="E127" s="33"/>
      <c r="F127" s="33"/>
      <c r="G127" s="8"/>
      <c r="H127" s="8"/>
      <c r="I127" s="8"/>
      <c r="J127" s="8"/>
      <c r="K127" s="8"/>
    </row>
    <row r="128" spans="5:11" x14ac:dyDescent="0.25">
      <c r="E128" s="33"/>
      <c r="F128" s="33"/>
      <c r="G128" s="8"/>
      <c r="H128" s="8"/>
      <c r="I128" s="8"/>
      <c r="J128" s="8"/>
      <c r="K128" s="8"/>
    </row>
    <row r="129" spans="5:11" x14ac:dyDescent="0.25">
      <c r="E129" s="33"/>
      <c r="F129" s="33"/>
      <c r="G129" s="8"/>
      <c r="H129" s="8"/>
      <c r="I129" s="8"/>
      <c r="J129" s="8"/>
      <c r="K129" s="8"/>
    </row>
    <row r="130" spans="5:11" x14ac:dyDescent="0.25">
      <c r="E130" s="33"/>
      <c r="F130" s="33"/>
      <c r="G130" s="8"/>
      <c r="H130" s="8"/>
      <c r="I130" s="8"/>
      <c r="J130" s="8"/>
      <c r="K130" s="8"/>
    </row>
    <row r="131" spans="5:11" x14ac:dyDescent="0.25">
      <c r="E131" s="33"/>
      <c r="F131" s="33"/>
      <c r="G131" s="8"/>
      <c r="H131" s="8"/>
      <c r="I131" s="8"/>
      <c r="J131" s="8"/>
      <c r="K131" s="8"/>
    </row>
    <row r="132" spans="5:11" x14ac:dyDescent="0.25">
      <c r="E132" s="33"/>
      <c r="F132" s="33"/>
      <c r="G132" s="8"/>
      <c r="H132" s="8"/>
      <c r="I132" s="8"/>
      <c r="J132" s="8"/>
      <c r="K132" s="8"/>
    </row>
    <row r="133" spans="5:11" x14ac:dyDescent="0.25">
      <c r="E133" s="33"/>
      <c r="F133" s="33"/>
      <c r="G133" s="8"/>
      <c r="H133" s="8"/>
      <c r="I133" s="8"/>
      <c r="J133" s="8"/>
      <c r="K133" s="8"/>
    </row>
    <row r="134" spans="5:11" x14ac:dyDescent="0.25">
      <c r="E134" s="33"/>
      <c r="F134" s="33"/>
      <c r="G134" s="8"/>
      <c r="H134" s="8"/>
      <c r="I134" s="8"/>
      <c r="J134" s="8"/>
      <c r="K134" s="8"/>
    </row>
    <row r="135" spans="5:11" x14ac:dyDescent="0.25">
      <c r="E135" s="33"/>
      <c r="F135" s="33"/>
      <c r="G135" s="8"/>
      <c r="H135" s="8"/>
      <c r="I135" s="8"/>
      <c r="J135" s="8"/>
      <c r="K135" s="8"/>
    </row>
    <row r="136" spans="5:11" x14ac:dyDescent="0.25">
      <c r="E136" s="33"/>
      <c r="F136" s="33"/>
      <c r="G136" s="8"/>
      <c r="H136" s="8"/>
      <c r="I136" s="8"/>
      <c r="J136" s="8"/>
      <c r="K136" s="8"/>
    </row>
    <row r="137" spans="5:11" x14ac:dyDescent="0.25">
      <c r="E137" s="33"/>
      <c r="F137" s="33"/>
      <c r="G137" s="8"/>
      <c r="H137" s="8"/>
      <c r="I137" s="8"/>
      <c r="J137" s="8"/>
      <c r="K137" s="8"/>
    </row>
    <row r="138" spans="5:11" x14ac:dyDescent="0.25">
      <c r="E138" s="33"/>
      <c r="F138" s="33"/>
      <c r="G138" s="8"/>
      <c r="H138" s="8"/>
      <c r="I138" s="8"/>
      <c r="J138" s="8"/>
      <c r="K138" s="8"/>
    </row>
    <row r="139" spans="5:11" x14ac:dyDescent="0.25">
      <c r="E139" s="33"/>
      <c r="F139" s="33"/>
      <c r="G139" s="8"/>
      <c r="H139" s="8"/>
      <c r="I139" s="8"/>
      <c r="J139" s="8"/>
      <c r="K139" s="8"/>
    </row>
    <row r="140" spans="5:11" x14ac:dyDescent="0.25">
      <c r="E140" s="33"/>
      <c r="F140" s="33"/>
      <c r="G140" s="8"/>
      <c r="H140" s="8"/>
      <c r="I140" s="8"/>
      <c r="J140" s="8"/>
      <c r="K140" s="8"/>
    </row>
    <row r="141" spans="5:11" x14ac:dyDescent="0.25">
      <c r="E141" s="33"/>
      <c r="F141" s="33"/>
      <c r="G141" s="8"/>
      <c r="H141" s="8"/>
      <c r="I141" s="8"/>
      <c r="J141" s="8"/>
      <c r="K141" s="8"/>
    </row>
    <row r="142" spans="5:11" x14ac:dyDescent="0.25">
      <c r="E142" s="33"/>
      <c r="F142" s="33"/>
      <c r="G142" s="8"/>
      <c r="H142" s="8"/>
      <c r="I142" s="8"/>
      <c r="J142" s="8"/>
      <c r="K142" s="8"/>
    </row>
    <row r="143" spans="5:11" x14ac:dyDescent="0.25">
      <c r="E143" s="33"/>
      <c r="F143" s="33"/>
      <c r="G143" s="8"/>
      <c r="H143" s="8"/>
      <c r="I143" s="8"/>
      <c r="J143" s="8"/>
      <c r="K143" s="8"/>
    </row>
    <row r="144" spans="5:11" x14ac:dyDescent="0.25">
      <c r="E144" s="33"/>
      <c r="F144" s="33"/>
      <c r="G144" s="8"/>
      <c r="H144" s="8"/>
      <c r="I144" s="8"/>
      <c r="J144" s="8"/>
      <c r="K144" s="8"/>
    </row>
    <row r="145" spans="5:11" x14ac:dyDescent="0.25">
      <c r="E145" s="33"/>
      <c r="F145" s="33"/>
      <c r="G145" s="8"/>
      <c r="H145" s="8"/>
      <c r="I145" s="8"/>
      <c r="J145" s="8"/>
      <c r="K145" s="8"/>
    </row>
    <row r="146" spans="5:11" x14ac:dyDescent="0.25">
      <c r="E146" s="33"/>
      <c r="F146" s="33"/>
      <c r="G146" s="8"/>
      <c r="H146" s="8"/>
      <c r="I146" s="8"/>
      <c r="J146" s="8"/>
      <c r="K146" s="8"/>
    </row>
    <row r="147" spans="5:11" x14ac:dyDescent="0.25">
      <c r="E147" s="33"/>
      <c r="F147" s="33"/>
      <c r="G147" s="8"/>
      <c r="H147" s="8"/>
      <c r="I147" s="8"/>
      <c r="J147" s="8"/>
      <c r="K147" s="8"/>
    </row>
    <row r="148" spans="5:11" x14ac:dyDescent="0.25">
      <c r="E148" s="33"/>
      <c r="F148" s="33"/>
      <c r="G148" s="8"/>
      <c r="H148" s="8"/>
      <c r="I148" s="8"/>
      <c r="J148" s="8"/>
      <c r="K148" s="8"/>
    </row>
    <row r="149" spans="5:11" x14ac:dyDescent="0.25">
      <c r="E149" s="33"/>
      <c r="F149" s="33"/>
      <c r="G149" s="8"/>
      <c r="H149" s="8"/>
      <c r="I149" s="8"/>
      <c r="J149" s="8"/>
      <c r="K149" s="8"/>
    </row>
    <row r="150" spans="5:11" x14ac:dyDescent="0.25">
      <c r="E150" s="33"/>
      <c r="F150" s="33"/>
      <c r="G150" s="8"/>
      <c r="H150" s="8"/>
      <c r="I150" s="8"/>
      <c r="J150" s="8"/>
      <c r="K150" s="8"/>
    </row>
    <row r="151" spans="5:11" x14ac:dyDescent="0.25">
      <c r="E151" s="33"/>
      <c r="F151" s="33"/>
      <c r="G151" s="8"/>
      <c r="H151" s="8"/>
      <c r="I151" s="8"/>
      <c r="J151" s="8"/>
      <c r="K151" s="8"/>
    </row>
    <row r="152" spans="5:11" x14ac:dyDescent="0.25">
      <c r="E152" s="33"/>
      <c r="F152" s="33"/>
      <c r="G152" s="8"/>
      <c r="H152" s="8"/>
      <c r="I152" s="8"/>
      <c r="J152" s="8"/>
      <c r="K152" s="8"/>
    </row>
    <row r="153" spans="5:11" x14ac:dyDescent="0.25">
      <c r="E153" s="33"/>
      <c r="F153" s="33"/>
      <c r="G153" s="8"/>
      <c r="H153" s="8"/>
      <c r="I153" s="8"/>
      <c r="J153" s="8"/>
      <c r="K153" s="8"/>
    </row>
    <row r="154" spans="5:11" x14ac:dyDescent="0.25">
      <c r="E154" s="33"/>
      <c r="F154" s="33"/>
      <c r="G154" s="8"/>
      <c r="H154" s="8"/>
      <c r="I154" s="8"/>
      <c r="J154" s="8"/>
      <c r="K154" s="8"/>
    </row>
    <row r="155" spans="5:11" x14ac:dyDescent="0.25">
      <c r="E155" s="33"/>
      <c r="F155" s="33"/>
      <c r="G155" s="8"/>
      <c r="H155" s="8"/>
      <c r="I155" s="8"/>
      <c r="J155" s="8"/>
      <c r="K155" s="8"/>
    </row>
    <row r="156" spans="5:11" x14ac:dyDescent="0.25">
      <c r="E156" s="33"/>
      <c r="F156" s="33"/>
      <c r="G156" s="8"/>
      <c r="H156" s="8"/>
      <c r="I156" s="8"/>
      <c r="J156" s="8"/>
      <c r="K156" s="8"/>
    </row>
    <row r="157" spans="5:11" x14ac:dyDescent="0.25">
      <c r="E157" s="33"/>
      <c r="F157" s="33"/>
      <c r="G157" s="8"/>
      <c r="H157" s="8"/>
      <c r="I157" s="8"/>
      <c r="J157" s="8"/>
      <c r="K157" s="8"/>
    </row>
    <row r="158" spans="5:11" x14ac:dyDescent="0.25">
      <c r="E158" s="33"/>
      <c r="F158" s="33"/>
      <c r="G158" s="8"/>
      <c r="H158" s="8"/>
      <c r="I158" s="8"/>
      <c r="J158" s="8"/>
      <c r="K158" s="8"/>
    </row>
    <row r="159" spans="5:11" x14ac:dyDescent="0.25">
      <c r="E159" s="33"/>
      <c r="F159" s="33"/>
      <c r="G159" s="8"/>
      <c r="H159" s="8"/>
      <c r="I159" s="8"/>
      <c r="J159" s="8"/>
      <c r="K159" s="8"/>
    </row>
    <row r="160" spans="5:11" x14ac:dyDescent="0.25">
      <c r="E160" s="33"/>
      <c r="F160" s="33"/>
      <c r="G160" s="8"/>
      <c r="H160" s="8"/>
      <c r="I160" s="8"/>
      <c r="J160" s="8"/>
      <c r="K160" s="8"/>
    </row>
    <row r="161" spans="5:11" x14ac:dyDescent="0.25">
      <c r="E161" s="33"/>
      <c r="F161" s="33"/>
      <c r="G161" s="8"/>
      <c r="H161" s="8"/>
      <c r="I161" s="8"/>
      <c r="J161" s="8"/>
      <c r="K161" s="8"/>
    </row>
    <row r="162" spans="5:11" x14ac:dyDescent="0.25">
      <c r="E162" s="33"/>
      <c r="F162" s="33"/>
      <c r="G162" s="8"/>
      <c r="H162" s="8"/>
      <c r="I162" s="8"/>
      <c r="J162" s="8"/>
      <c r="K162" s="8"/>
    </row>
    <row r="163" spans="5:11" x14ac:dyDescent="0.25">
      <c r="E163" s="33"/>
      <c r="F163" s="33"/>
      <c r="G163" s="8"/>
      <c r="H163" s="8"/>
      <c r="I163" s="8"/>
      <c r="J163" s="8"/>
      <c r="K163" s="8"/>
    </row>
    <row r="164" spans="5:11" x14ac:dyDescent="0.25">
      <c r="E164" s="33"/>
      <c r="F164" s="33"/>
      <c r="G164" s="8"/>
      <c r="H164" s="8"/>
      <c r="I164" s="8"/>
      <c r="J164" s="8"/>
      <c r="K164" s="8"/>
    </row>
    <row r="165" spans="5:11" x14ac:dyDescent="0.25">
      <c r="E165" s="33"/>
      <c r="F165" s="33"/>
      <c r="G165" s="8"/>
      <c r="H165" s="8"/>
      <c r="I165" s="8"/>
      <c r="J165" s="8"/>
      <c r="K165" s="8"/>
    </row>
    <row r="166" spans="5:11" x14ac:dyDescent="0.25">
      <c r="E166" s="33"/>
      <c r="F166" s="33"/>
      <c r="G166" s="8"/>
      <c r="H166" s="8"/>
      <c r="I166" s="8"/>
      <c r="J166" s="8"/>
      <c r="K166" s="8"/>
    </row>
    <row r="167" spans="5:11" x14ac:dyDescent="0.25">
      <c r="E167" s="33"/>
      <c r="F167" s="33"/>
      <c r="G167" s="8"/>
      <c r="H167" s="8"/>
      <c r="I167" s="8"/>
      <c r="J167" s="8"/>
      <c r="K167" s="8"/>
    </row>
    <row r="168" spans="5:11" x14ac:dyDescent="0.25">
      <c r="E168" s="33"/>
      <c r="F168" s="33"/>
      <c r="G168" s="8"/>
      <c r="H168" s="8"/>
      <c r="I168" s="8"/>
      <c r="J168" s="8"/>
      <c r="K168" s="8"/>
    </row>
    <row r="169" spans="5:11" x14ac:dyDescent="0.25">
      <c r="E169" s="33"/>
      <c r="F169" s="33"/>
      <c r="G169" s="8"/>
      <c r="H169" s="8"/>
      <c r="I169" s="8"/>
      <c r="J169" s="8"/>
      <c r="K169" s="8"/>
    </row>
    <row r="170" spans="5:11" x14ac:dyDescent="0.25">
      <c r="E170" s="33"/>
      <c r="F170" s="33"/>
      <c r="G170" s="8"/>
      <c r="H170" s="8"/>
      <c r="I170" s="8"/>
      <c r="J170" s="8"/>
      <c r="K170" s="8"/>
    </row>
    <row r="171" spans="5:11" x14ac:dyDescent="0.25">
      <c r="E171" s="33"/>
      <c r="F171" s="33"/>
      <c r="G171" s="8"/>
      <c r="H171" s="8"/>
      <c r="I171" s="8"/>
      <c r="J171" s="8"/>
      <c r="K171" s="8"/>
    </row>
    <row r="172" spans="5:11" x14ac:dyDescent="0.25">
      <c r="E172" s="33"/>
      <c r="F172" s="33"/>
      <c r="G172" s="8"/>
      <c r="H172" s="8"/>
      <c r="I172" s="8"/>
      <c r="J172" s="8"/>
      <c r="K172" s="8"/>
    </row>
    <row r="173" spans="5:11" x14ac:dyDescent="0.25">
      <c r="E173" s="33"/>
      <c r="F173" s="33"/>
      <c r="G173" s="8"/>
      <c r="H173" s="8"/>
      <c r="I173" s="8"/>
      <c r="J173" s="8"/>
      <c r="K173" s="8"/>
    </row>
    <row r="174" spans="5:11" x14ac:dyDescent="0.25">
      <c r="E174" s="33"/>
      <c r="F174" s="33"/>
      <c r="G174" s="8"/>
      <c r="H174" s="8"/>
      <c r="I174" s="8"/>
      <c r="J174" s="8"/>
      <c r="K174" s="8"/>
    </row>
    <row r="175" spans="5:11" x14ac:dyDescent="0.25">
      <c r="E175" s="33"/>
      <c r="F175" s="33"/>
      <c r="G175" s="8"/>
      <c r="H175" s="8"/>
      <c r="I175" s="8"/>
      <c r="J175" s="8"/>
      <c r="K175" s="8"/>
    </row>
    <row r="176" spans="5:11" x14ac:dyDescent="0.25">
      <c r="E176" s="33"/>
      <c r="F176" s="33"/>
      <c r="G176" s="8"/>
      <c r="H176" s="8"/>
      <c r="I176" s="8"/>
      <c r="J176" s="8"/>
      <c r="K176" s="8"/>
    </row>
    <row r="177" spans="5:11" x14ac:dyDescent="0.25">
      <c r="E177" s="33"/>
      <c r="F177" s="33"/>
      <c r="G177" s="8"/>
      <c r="H177" s="8"/>
      <c r="I177" s="8"/>
      <c r="J177" s="8"/>
      <c r="K177" s="8"/>
    </row>
    <row r="178" spans="5:11" x14ac:dyDescent="0.25">
      <c r="E178" s="33"/>
      <c r="F178" s="33"/>
      <c r="G178" s="8"/>
      <c r="H178" s="8"/>
      <c r="I178" s="8"/>
      <c r="J178" s="8"/>
      <c r="K178" s="8"/>
    </row>
    <row r="179" spans="5:11" x14ac:dyDescent="0.25">
      <c r="E179" s="33"/>
      <c r="F179" s="33"/>
      <c r="G179" s="8"/>
      <c r="H179" s="8"/>
      <c r="I179" s="8"/>
      <c r="J179" s="8"/>
      <c r="K179" s="8"/>
    </row>
    <row r="180" spans="5:11" x14ac:dyDescent="0.25">
      <c r="E180" s="33"/>
      <c r="F180" s="33"/>
      <c r="G180" s="8"/>
      <c r="H180" s="8"/>
      <c r="I180" s="8"/>
      <c r="J180" s="8"/>
      <c r="K180" s="8"/>
    </row>
    <row r="181" spans="5:11" x14ac:dyDescent="0.25">
      <c r="E181" s="33"/>
      <c r="F181" s="33"/>
      <c r="G181" s="8"/>
      <c r="H181" s="8"/>
      <c r="I181" s="8"/>
      <c r="J181" s="8"/>
      <c r="K181" s="8"/>
    </row>
    <row r="182" spans="5:11" x14ac:dyDescent="0.25">
      <c r="E182" s="33"/>
      <c r="F182" s="33"/>
      <c r="G182" s="8"/>
      <c r="H182" s="8"/>
      <c r="I182" s="8"/>
      <c r="J182" s="8"/>
      <c r="K182" s="8"/>
    </row>
    <row r="183" spans="5:11" x14ac:dyDescent="0.25">
      <c r="E183" s="33"/>
      <c r="F183" s="33"/>
      <c r="G183" s="8"/>
      <c r="H183" s="8"/>
      <c r="I183" s="8"/>
      <c r="J183" s="8"/>
      <c r="K183" s="8"/>
    </row>
    <row r="184" spans="5:11" x14ac:dyDescent="0.25">
      <c r="E184" s="33"/>
      <c r="F184" s="33"/>
      <c r="G184" s="8"/>
      <c r="H184" s="8"/>
      <c r="I184" s="8"/>
      <c r="J184" s="8"/>
      <c r="K184" s="8"/>
    </row>
    <row r="185" spans="5:11" x14ac:dyDescent="0.25">
      <c r="E185" s="33"/>
      <c r="F185" s="33"/>
      <c r="G185" s="8"/>
      <c r="H185" s="8"/>
      <c r="I185" s="8"/>
      <c r="J185" s="8"/>
      <c r="K185" s="8"/>
    </row>
    <row r="186" spans="5:11" x14ac:dyDescent="0.25">
      <c r="E186" s="33"/>
      <c r="F186" s="33"/>
      <c r="G186" s="8"/>
      <c r="H186" s="8"/>
      <c r="I186" s="8"/>
      <c r="J186" s="8"/>
      <c r="K186" s="8"/>
    </row>
    <row r="187" spans="5:11" x14ac:dyDescent="0.25">
      <c r="E187" s="33"/>
      <c r="F187" s="33"/>
      <c r="G187" s="8"/>
      <c r="H187" s="8"/>
      <c r="I187" s="8"/>
      <c r="J187" s="8"/>
      <c r="K187" s="8"/>
    </row>
    <row r="188" spans="5:11" x14ac:dyDescent="0.25">
      <c r="E188" s="33"/>
      <c r="F188" s="33"/>
      <c r="G188" s="8"/>
      <c r="H188" s="8"/>
      <c r="I188" s="8"/>
      <c r="J188" s="8"/>
      <c r="K188" s="8"/>
    </row>
    <row r="189" spans="5:11" x14ac:dyDescent="0.25">
      <c r="E189" s="33"/>
      <c r="F189" s="33"/>
      <c r="G189" s="8"/>
      <c r="H189" s="8"/>
      <c r="I189" s="8"/>
      <c r="J189" s="8"/>
      <c r="K189" s="8"/>
    </row>
    <row r="190" spans="5:11" x14ac:dyDescent="0.25">
      <c r="E190" s="33"/>
      <c r="F190" s="33"/>
      <c r="G190" s="8"/>
      <c r="H190" s="8"/>
      <c r="I190" s="8"/>
      <c r="J190" s="8"/>
      <c r="K190" s="8"/>
    </row>
    <row r="191" spans="5:11" x14ac:dyDescent="0.25">
      <c r="E191" s="33"/>
      <c r="F191" s="33"/>
      <c r="G191" s="8"/>
      <c r="H191" s="8"/>
      <c r="I191" s="8"/>
      <c r="J191" s="8"/>
      <c r="K191" s="8"/>
    </row>
    <row r="192" spans="5:11" x14ac:dyDescent="0.25">
      <c r="E192" s="33"/>
      <c r="F192" s="33"/>
      <c r="G192" s="8"/>
      <c r="H192" s="8"/>
      <c r="I192" s="8"/>
      <c r="J192" s="8"/>
      <c r="K192" s="8"/>
    </row>
    <row r="193" spans="5:11" x14ac:dyDescent="0.25">
      <c r="E193" s="33"/>
      <c r="F193" s="33"/>
      <c r="G193" s="8"/>
      <c r="H193" s="8"/>
      <c r="I193" s="8"/>
      <c r="J193" s="8"/>
      <c r="K193" s="8"/>
    </row>
    <row r="194" spans="5:11" x14ac:dyDescent="0.25">
      <c r="E194" s="33"/>
      <c r="F194" s="33"/>
      <c r="G194" s="8"/>
      <c r="H194" s="8"/>
      <c r="I194" s="8"/>
      <c r="J194" s="8"/>
      <c r="K194" s="8"/>
    </row>
    <row r="195" spans="5:11" x14ac:dyDescent="0.25">
      <c r="E195" s="33"/>
      <c r="F195" s="33"/>
      <c r="G195" s="8"/>
      <c r="H195" s="8"/>
      <c r="I195" s="8"/>
      <c r="J195" s="8"/>
      <c r="K195" s="8"/>
    </row>
    <row r="196" spans="5:11" x14ac:dyDescent="0.25">
      <c r="E196" s="33"/>
      <c r="F196" s="33"/>
      <c r="G196" s="8"/>
      <c r="H196" s="8"/>
      <c r="I196" s="8"/>
      <c r="J196" s="8"/>
      <c r="K196" s="8"/>
    </row>
    <row r="197" spans="5:11" x14ac:dyDescent="0.25">
      <c r="E197" s="33"/>
      <c r="F197" s="33"/>
      <c r="G197" s="8"/>
      <c r="H197" s="8"/>
      <c r="I197" s="8"/>
      <c r="J197" s="8"/>
      <c r="K197" s="8"/>
    </row>
    <row r="198" spans="5:11" x14ac:dyDescent="0.25">
      <c r="E198" s="33"/>
      <c r="F198" s="33"/>
      <c r="G198" s="8"/>
      <c r="H198" s="8"/>
      <c r="I198" s="8"/>
      <c r="J198" s="8"/>
      <c r="K198" s="8"/>
    </row>
    <row r="199" spans="5:11" x14ac:dyDescent="0.25">
      <c r="E199" s="33"/>
      <c r="F199" s="33"/>
      <c r="G199" s="8"/>
      <c r="H199" s="8"/>
      <c r="I199" s="8"/>
      <c r="J199" s="8"/>
      <c r="K199" s="8"/>
    </row>
    <row r="200" spans="5:11" x14ac:dyDescent="0.25">
      <c r="E200" s="33"/>
      <c r="F200" s="33"/>
      <c r="G200" s="8"/>
      <c r="H200" s="8"/>
      <c r="I200" s="8"/>
      <c r="J200" s="8"/>
      <c r="K200" s="8"/>
    </row>
    <row r="201" spans="5:11" x14ac:dyDescent="0.25">
      <c r="E201" s="33"/>
      <c r="F201" s="33"/>
      <c r="G201" s="8"/>
      <c r="H201" s="8"/>
      <c r="I201" s="8"/>
      <c r="J201" s="8"/>
      <c r="K201" s="8"/>
    </row>
    <row r="202" spans="5:11" x14ac:dyDescent="0.25">
      <c r="E202" s="33"/>
      <c r="F202" s="33"/>
      <c r="G202" s="8"/>
      <c r="H202" s="8"/>
      <c r="I202" s="8"/>
      <c r="J202" s="8"/>
      <c r="K202" s="8"/>
    </row>
    <row r="203" spans="5:11" x14ac:dyDescent="0.25">
      <c r="E203" s="33"/>
      <c r="F203" s="33"/>
      <c r="G203" s="8"/>
      <c r="H203" s="8"/>
      <c r="I203" s="8"/>
      <c r="J203" s="8"/>
      <c r="K203" s="8"/>
    </row>
    <row r="204" spans="5:11" x14ac:dyDescent="0.25">
      <c r="E204" s="33"/>
      <c r="F204" s="33"/>
      <c r="G204" s="8"/>
      <c r="H204" s="8"/>
      <c r="I204" s="8"/>
      <c r="J204" s="8"/>
      <c r="K204" s="8"/>
    </row>
    <row r="205" spans="5:11" x14ac:dyDescent="0.25">
      <c r="E205" s="33"/>
      <c r="F205" s="33"/>
      <c r="G205" s="8"/>
      <c r="H205" s="8"/>
      <c r="I205" s="8"/>
      <c r="J205" s="8"/>
      <c r="K205" s="8"/>
    </row>
    <row r="206" spans="5:11" x14ac:dyDescent="0.25">
      <c r="E206" s="33"/>
      <c r="F206" s="33"/>
      <c r="G206" s="8"/>
      <c r="H206" s="8"/>
      <c r="I206" s="8"/>
      <c r="J206" s="8"/>
      <c r="K206" s="8"/>
    </row>
    <row r="207" spans="5:11" x14ac:dyDescent="0.25">
      <c r="E207" s="33"/>
      <c r="F207" s="33"/>
      <c r="G207" s="8"/>
      <c r="H207" s="8"/>
      <c r="I207" s="8"/>
      <c r="J207" s="8"/>
      <c r="K207" s="8"/>
    </row>
    <row r="208" spans="5:11" x14ac:dyDescent="0.25">
      <c r="E208" s="33"/>
      <c r="F208" s="33"/>
      <c r="G208" s="8"/>
      <c r="H208" s="8"/>
      <c r="I208" s="8"/>
      <c r="J208" s="8"/>
      <c r="K208" s="8"/>
    </row>
    <row r="209" spans="5:11" x14ac:dyDescent="0.25">
      <c r="E209" s="33"/>
      <c r="F209" s="33"/>
      <c r="G209" s="8"/>
      <c r="H209" s="8"/>
      <c r="I209" s="8"/>
      <c r="J209" s="8"/>
      <c r="K209" s="8"/>
    </row>
    <row r="210" spans="5:11" x14ac:dyDescent="0.25">
      <c r="E210" s="33"/>
      <c r="F210" s="33"/>
      <c r="G210" s="8"/>
      <c r="H210" s="8"/>
      <c r="I210" s="8"/>
      <c r="J210" s="8"/>
      <c r="K210" s="8"/>
    </row>
    <row r="211" spans="5:11" x14ac:dyDescent="0.25">
      <c r="E211" s="33"/>
      <c r="F211" s="33"/>
      <c r="G211" s="8"/>
      <c r="H211" s="8"/>
      <c r="I211" s="8"/>
      <c r="J211" s="8"/>
      <c r="K211" s="8"/>
    </row>
    <row r="212" spans="5:11" x14ac:dyDescent="0.25">
      <c r="E212" s="33"/>
      <c r="F212" s="33"/>
      <c r="G212" s="8"/>
      <c r="H212" s="8"/>
      <c r="I212" s="8"/>
      <c r="J212" s="8"/>
      <c r="K212" s="8"/>
    </row>
    <row r="213" spans="5:11" x14ac:dyDescent="0.25">
      <c r="E213" s="33"/>
      <c r="F213" s="33"/>
      <c r="G213" s="8"/>
      <c r="H213" s="8"/>
      <c r="I213" s="8"/>
      <c r="J213" s="8"/>
      <c r="K213" s="8"/>
    </row>
    <row r="214" spans="5:11" x14ac:dyDescent="0.25">
      <c r="E214" s="33"/>
      <c r="F214" s="33"/>
      <c r="G214" s="8"/>
      <c r="H214" s="8"/>
      <c r="I214" s="8"/>
      <c r="J214" s="8"/>
      <c r="K214" s="8"/>
    </row>
    <row r="215" spans="5:11" x14ac:dyDescent="0.25">
      <c r="E215" s="33"/>
      <c r="F215" s="33"/>
      <c r="G215" s="8"/>
      <c r="H215" s="8"/>
      <c r="I215" s="8"/>
      <c r="J215" s="8"/>
      <c r="K215" s="8"/>
    </row>
    <row r="216" spans="5:11" x14ac:dyDescent="0.25">
      <c r="E216" s="33"/>
      <c r="F216" s="33"/>
      <c r="G216" s="8"/>
      <c r="H216" s="8"/>
      <c r="I216" s="8"/>
      <c r="J216" s="8"/>
      <c r="K216" s="8"/>
    </row>
    <row r="217" spans="5:11" x14ac:dyDescent="0.25">
      <c r="E217" s="33"/>
      <c r="F217" s="33"/>
      <c r="G217" s="8"/>
      <c r="H217" s="8"/>
      <c r="I217" s="8"/>
      <c r="J217" s="8"/>
      <c r="K217" s="8"/>
    </row>
    <row r="218" spans="5:11" x14ac:dyDescent="0.25">
      <c r="E218" s="33"/>
      <c r="F218" s="33"/>
      <c r="G218" s="8"/>
      <c r="H218" s="8"/>
      <c r="I218" s="8"/>
      <c r="J218" s="8"/>
      <c r="K218" s="8"/>
    </row>
    <row r="219" spans="5:11" x14ac:dyDescent="0.25">
      <c r="E219" s="33"/>
      <c r="F219" s="33"/>
      <c r="G219" s="8"/>
      <c r="H219" s="8"/>
      <c r="I219" s="8"/>
      <c r="J219" s="8"/>
      <c r="K219" s="8"/>
    </row>
    <row r="220" spans="5:11" x14ac:dyDescent="0.25">
      <c r="E220" s="33"/>
      <c r="F220" s="33"/>
      <c r="G220" s="8"/>
      <c r="H220" s="8"/>
      <c r="I220" s="8"/>
      <c r="J220" s="8"/>
      <c r="K220" s="8"/>
    </row>
    <row r="221" spans="5:11" x14ac:dyDescent="0.25">
      <c r="E221" s="33"/>
      <c r="F221" s="33"/>
      <c r="G221" s="8"/>
      <c r="H221" s="8"/>
      <c r="I221" s="8"/>
      <c r="J221" s="8"/>
      <c r="K221" s="8"/>
    </row>
    <row r="222" spans="5:11" x14ac:dyDescent="0.25">
      <c r="E222" s="33"/>
      <c r="F222" s="33"/>
      <c r="G222" s="8"/>
      <c r="H222" s="8"/>
      <c r="I222" s="8"/>
      <c r="J222" s="8"/>
      <c r="K222" s="8"/>
    </row>
    <row r="223" spans="5:11" x14ac:dyDescent="0.25">
      <c r="E223" s="33"/>
      <c r="F223" s="33"/>
      <c r="G223" s="8"/>
      <c r="H223" s="8"/>
      <c r="I223" s="8"/>
      <c r="J223" s="8"/>
      <c r="K223" s="8"/>
    </row>
    <row r="224" spans="5:11" x14ac:dyDescent="0.25">
      <c r="E224" s="33"/>
      <c r="F224" s="33"/>
      <c r="G224" s="8"/>
      <c r="H224" s="8"/>
      <c r="I224" s="8"/>
      <c r="J224" s="8"/>
      <c r="K224" s="8"/>
    </row>
    <row r="225" spans="5:11" x14ac:dyDescent="0.25">
      <c r="E225" s="33"/>
      <c r="F225" s="33"/>
      <c r="G225" s="8"/>
      <c r="H225" s="8"/>
      <c r="I225" s="8"/>
      <c r="J225" s="8"/>
      <c r="K225" s="8"/>
    </row>
    <row r="226" spans="5:11" x14ac:dyDescent="0.25">
      <c r="E226" s="33"/>
      <c r="F226" s="33"/>
      <c r="G226" s="8"/>
      <c r="H226" s="8"/>
      <c r="I226" s="8"/>
      <c r="J226" s="8"/>
      <c r="K226" s="8"/>
    </row>
    <row r="227" spans="5:11" x14ac:dyDescent="0.25">
      <c r="E227" s="33"/>
      <c r="F227" s="33"/>
      <c r="G227" s="8"/>
      <c r="H227" s="8"/>
      <c r="I227" s="8"/>
      <c r="J227" s="8"/>
      <c r="K227" s="8"/>
    </row>
    <row r="228" spans="5:11" x14ac:dyDescent="0.25">
      <c r="E228" s="33"/>
      <c r="F228" s="33"/>
      <c r="G228" s="8"/>
      <c r="H228" s="8"/>
      <c r="I228" s="8"/>
      <c r="J228" s="8"/>
      <c r="K228" s="8"/>
    </row>
    <row r="229" spans="5:11" x14ac:dyDescent="0.25">
      <c r="E229" s="33"/>
      <c r="F229" s="33"/>
      <c r="G229" s="8"/>
      <c r="H229" s="8"/>
      <c r="I229" s="8"/>
      <c r="J229" s="8"/>
      <c r="K229" s="8"/>
    </row>
    <row r="230" spans="5:11" x14ac:dyDescent="0.25">
      <c r="E230" s="33"/>
      <c r="F230" s="33"/>
      <c r="G230" s="8"/>
      <c r="H230" s="8"/>
      <c r="I230" s="8"/>
      <c r="J230" s="8"/>
      <c r="K230" s="8"/>
    </row>
    <row r="231" spans="5:11" x14ac:dyDescent="0.25">
      <c r="E231" s="33"/>
      <c r="F231" s="33"/>
      <c r="G231" s="8"/>
      <c r="H231" s="8"/>
      <c r="I231" s="8"/>
      <c r="J231" s="8"/>
      <c r="K231" s="8"/>
    </row>
    <row r="232" spans="5:11" x14ac:dyDescent="0.25">
      <c r="E232" s="33"/>
      <c r="F232" s="33"/>
      <c r="G232" s="8"/>
      <c r="H232" s="8"/>
      <c r="I232" s="8"/>
      <c r="J232" s="8"/>
      <c r="K232" s="8"/>
    </row>
    <row r="233" spans="5:11" x14ac:dyDescent="0.25">
      <c r="E233" s="33"/>
      <c r="F233" s="33"/>
      <c r="G233" s="8"/>
      <c r="H233" s="8"/>
      <c r="I233" s="8"/>
      <c r="J233" s="8"/>
      <c r="K233" s="8"/>
    </row>
    <row r="234" spans="5:11" x14ac:dyDescent="0.25">
      <c r="E234" s="33"/>
      <c r="F234" s="33"/>
      <c r="G234" s="8"/>
      <c r="H234" s="8"/>
      <c r="I234" s="8"/>
      <c r="J234" s="8"/>
      <c r="K234" s="8"/>
    </row>
    <row r="235" spans="5:11" x14ac:dyDescent="0.25">
      <c r="E235" s="33"/>
      <c r="F235" s="33"/>
      <c r="G235" s="8"/>
      <c r="H235" s="8"/>
      <c r="I235" s="8"/>
      <c r="J235" s="8"/>
      <c r="K235" s="8"/>
    </row>
    <row r="236" spans="5:11" x14ac:dyDescent="0.25">
      <c r="E236" s="33"/>
      <c r="F236" s="33"/>
      <c r="G236" s="8"/>
      <c r="H236" s="8"/>
      <c r="I236" s="8"/>
      <c r="J236" s="8"/>
      <c r="K236" s="8"/>
    </row>
    <row r="237" spans="5:11" x14ac:dyDescent="0.25">
      <c r="E237" s="33"/>
      <c r="F237" s="33"/>
      <c r="G237" s="8"/>
      <c r="H237" s="8"/>
      <c r="I237" s="8"/>
      <c r="J237" s="8"/>
      <c r="K237" s="8"/>
    </row>
    <row r="238" spans="5:11" x14ac:dyDescent="0.25">
      <c r="E238" s="33"/>
      <c r="F238" s="33"/>
      <c r="G238" s="8"/>
      <c r="H238" s="8"/>
      <c r="I238" s="8"/>
      <c r="J238" s="8"/>
      <c r="K238" s="8"/>
    </row>
    <row r="239" spans="5:11" x14ac:dyDescent="0.25">
      <c r="E239" s="33"/>
      <c r="F239" s="33"/>
      <c r="G239" s="8"/>
      <c r="H239" s="8"/>
      <c r="I239" s="8"/>
      <c r="J239" s="8"/>
      <c r="K239" s="8"/>
    </row>
    <row r="240" spans="5:11" x14ac:dyDescent="0.25">
      <c r="E240" s="33"/>
      <c r="F240" s="33"/>
      <c r="G240" s="8"/>
      <c r="H240" s="8"/>
      <c r="I240" s="8"/>
      <c r="J240" s="8"/>
      <c r="K240" s="8"/>
    </row>
    <row r="241" spans="5:11" x14ac:dyDescent="0.25">
      <c r="E241" s="33"/>
      <c r="F241" s="33"/>
      <c r="G241" s="8"/>
      <c r="H241" s="8"/>
      <c r="I241" s="8"/>
      <c r="J241" s="8"/>
      <c r="K241" s="8"/>
    </row>
    <row r="242" spans="5:11" x14ac:dyDescent="0.25">
      <c r="E242" s="33"/>
      <c r="F242" s="33"/>
      <c r="G242" s="8"/>
      <c r="H242" s="8"/>
      <c r="I242" s="8"/>
      <c r="J242" s="8"/>
      <c r="K242" s="8"/>
    </row>
    <row r="243" spans="5:11" x14ac:dyDescent="0.25">
      <c r="E243" s="33"/>
      <c r="F243" s="33"/>
      <c r="G243" s="8"/>
      <c r="H243" s="8"/>
      <c r="I243" s="8"/>
      <c r="J243" s="8"/>
      <c r="K243" s="8"/>
    </row>
    <row r="244" spans="5:11" x14ac:dyDescent="0.25">
      <c r="E244" s="33"/>
      <c r="F244" s="33"/>
      <c r="G244" s="8"/>
      <c r="H244" s="8"/>
      <c r="I244" s="8"/>
      <c r="J244" s="8"/>
      <c r="K244" s="8"/>
    </row>
    <row r="245" spans="5:11" x14ac:dyDescent="0.25">
      <c r="E245" s="33"/>
      <c r="F245" s="33"/>
      <c r="G245" s="8"/>
      <c r="H245" s="8"/>
      <c r="I245" s="8"/>
      <c r="J245" s="8"/>
      <c r="K245" s="8"/>
    </row>
    <row r="246" spans="5:11" x14ac:dyDescent="0.25">
      <c r="E246" s="33"/>
      <c r="F246" s="33"/>
      <c r="G246" s="8"/>
      <c r="H246" s="8"/>
      <c r="I246" s="8"/>
      <c r="J246" s="8"/>
      <c r="K246" s="8"/>
    </row>
    <row r="247" spans="5:11" x14ac:dyDescent="0.25">
      <c r="E247" s="33"/>
      <c r="F247" s="33"/>
      <c r="G247" s="8"/>
      <c r="H247" s="8"/>
      <c r="I247" s="8"/>
      <c r="J247" s="8"/>
      <c r="K247" s="8"/>
    </row>
    <row r="248" spans="5:11" x14ac:dyDescent="0.25">
      <c r="E248" s="33"/>
      <c r="F248" s="33"/>
      <c r="G248" s="8"/>
      <c r="H248" s="8"/>
      <c r="I248" s="8"/>
      <c r="J248" s="8"/>
      <c r="K248" s="8"/>
    </row>
    <row r="249" spans="5:11" x14ac:dyDescent="0.25">
      <c r="E249" s="33"/>
      <c r="F249" s="33"/>
      <c r="G249" s="8"/>
      <c r="H249" s="8"/>
      <c r="I249" s="8"/>
      <c r="J249" s="8"/>
      <c r="K249" s="8"/>
    </row>
    <row r="250" spans="5:11" x14ac:dyDescent="0.25">
      <c r="E250" s="33"/>
      <c r="F250" s="33"/>
      <c r="G250" s="8"/>
      <c r="H250" s="8"/>
      <c r="I250" s="8"/>
      <c r="J250" s="8"/>
      <c r="K250" s="8"/>
    </row>
    <row r="251" spans="5:11" x14ac:dyDescent="0.25">
      <c r="E251" s="33"/>
      <c r="F251" s="33"/>
      <c r="G251" s="8"/>
      <c r="H251" s="8"/>
      <c r="I251" s="8"/>
      <c r="J251" s="8"/>
      <c r="K251" s="8"/>
    </row>
    <row r="252" spans="5:11" x14ac:dyDescent="0.25">
      <c r="E252" s="33"/>
      <c r="F252" s="33"/>
      <c r="G252" s="8"/>
      <c r="H252" s="8"/>
      <c r="I252" s="8"/>
      <c r="J252" s="8"/>
      <c r="K252" s="8"/>
    </row>
    <row r="253" spans="5:11" x14ac:dyDescent="0.25">
      <c r="E253" s="33"/>
      <c r="F253" s="33"/>
      <c r="G253" s="8"/>
      <c r="H253" s="8"/>
      <c r="I253" s="8"/>
      <c r="J253" s="8"/>
      <c r="K253" s="8"/>
    </row>
    <row r="254" spans="5:11" x14ac:dyDescent="0.25">
      <c r="E254" s="33"/>
      <c r="F254" s="33"/>
      <c r="G254" s="8"/>
      <c r="H254" s="8"/>
      <c r="I254" s="8"/>
      <c r="J254" s="8"/>
      <c r="K254" s="8"/>
    </row>
    <row r="255" spans="5:11" x14ac:dyDescent="0.25">
      <c r="E255" s="33"/>
      <c r="F255" s="33"/>
      <c r="G255" s="8"/>
      <c r="H255" s="8"/>
      <c r="I255" s="8"/>
      <c r="J255" s="8"/>
      <c r="K255" s="8"/>
    </row>
    <row r="256" spans="5:11" x14ac:dyDescent="0.25">
      <c r="E256" s="33"/>
      <c r="F256" s="33"/>
      <c r="G256" s="8"/>
      <c r="H256" s="8"/>
      <c r="I256" s="8"/>
      <c r="J256" s="8"/>
      <c r="K256" s="8"/>
    </row>
    <row r="257" spans="5:11" x14ac:dyDescent="0.25">
      <c r="E257" s="33"/>
      <c r="F257" s="33"/>
      <c r="G257" s="8"/>
      <c r="H257" s="8"/>
      <c r="I257" s="8"/>
      <c r="J257" s="8"/>
      <c r="K257" s="8"/>
    </row>
    <row r="258" spans="5:11" x14ac:dyDescent="0.25">
      <c r="E258" s="33"/>
      <c r="F258" s="33"/>
      <c r="G258" s="8"/>
      <c r="H258" s="8"/>
      <c r="I258" s="8"/>
      <c r="J258" s="8"/>
      <c r="K258" s="8"/>
    </row>
    <row r="259" spans="5:11" x14ac:dyDescent="0.25">
      <c r="E259" s="33"/>
      <c r="F259" s="33"/>
      <c r="G259" s="8"/>
      <c r="H259" s="8"/>
      <c r="I259" s="8"/>
      <c r="J259" s="8"/>
      <c r="K259" s="8"/>
    </row>
    <row r="260" spans="5:11" x14ac:dyDescent="0.25">
      <c r="E260" s="33"/>
      <c r="F260" s="33"/>
      <c r="G260" s="8"/>
      <c r="H260" s="8"/>
      <c r="I260" s="8"/>
      <c r="J260" s="8"/>
      <c r="K260" s="8"/>
    </row>
    <row r="261" spans="5:11" x14ac:dyDescent="0.25">
      <c r="E261" s="33"/>
      <c r="F261" s="33"/>
      <c r="G261" s="8"/>
      <c r="H261" s="8"/>
      <c r="I261" s="8"/>
      <c r="J261" s="8"/>
      <c r="K261" s="8"/>
    </row>
    <row r="262" spans="5:11" x14ac:dyDescent="0.25">
      <c r="E262" s="33"/>
      <c r="F262" s="33"/>
      <c r="G262" s="8"/>
      <c r="H262" s="8"/>
      <c r="I262" s="8"/>
      <c r="J262" s="8"/>
      <c r="K262" s="8"/>
    </row>
    <row r="263" spans="5:11" x14ac:dyDescent="0.25">
      <c r="E263" s="33"/>
      <c r="F263" s="33"/>
      <c r="G263" s="8"/>
      <c r="H263" s="8"/>
      <c r="I263" s="8"/>
      <c r="J263" s="8"/>
      <c r="K263" s="8"/>
    </row>
    <row r="264" spans="5:11" x14ac:dyDescent="0.25">
      <c r="E264" s="33"/>
      <c r="F264" s="33"/>
      <c r="G264" s="8"/>
      <c r="H264" s="8"/>
      <c r="I264" s="8"/>
      <c r="J264" s="8"/>
      <c r="K264" s="8"/>
    </row>
    <row r="265" spans="5:11" x14ac:dyDescent="0.25">
      <c r="E265" s="33"/>
      <c r="F265" s="33"/>
      <c r="G265" s="8"/>
      <c r="H265" s="8"/>
      <c r="I265" s="8"/>
      <c r="J265" s="8"/>
      <c r="K265" s="8"/>
    </row>
    <row r="266" spans="5:11" x14ac:dyDescent="0.25">
      <c r="E266" s="33"/>
      <c r="F266" s="33"/>
      <c r="G266" s="8"/>
      <c r="H266" s="8"/>
      <c r="I266" s="8"/>
      <c r="J266" s="8"/>
      <c r="K266" s="8"/>
    </row>
    <row r="267" spans="5:11" x14ac:dyDescent="0.25">
      <c r="E267" s="33"/>
      <c r="F267" s="33"/>
      <c r="G267" s="8"/>
      <c r="H267" s="8"/>
      <c r="I267" s="8"/>
      <c r="J267" s="8"/>
      <c r="K267" s="8"/>
    </row>
    <row r="268" spans="5:11" x14ac:dyDescent="0.25">
      <c r="E268" s="33"/>
      <c r="F268" s="33"/>
      <c r="G268" s="8"/>
      <c r="H268" s="8"/>
      <c r="I268" s="8"/>
      <c r="J268" s="8"/>
      <c r="K268" s="8"/>
    </row>
    <row r="269" spans="5:11" x14ac:dyDescent="0.25">
      <c r="E269" s="33"/>
      <c r="F269" s="33"/>
      <c r="G269" s="8"/>
      <c r="H269" s="8"/>
      <c r="I269" s="8"/>
      <c r="J269" s="8"/>
      <c r="K269" s="8"/>
    </row>
    <row r="270" spans="5:11" x14ac:dyDescent="0.25">
      <c r="E270" s="33"/>
      <c r="F270" s="33"/>
      <c r="G270" s="8"/>
      <c r="H270" s="8"/>
      <c r="I270" s="8"/>
      <c r="J270" s="8"/>
      <c r="K270" s="8"/>
    </row>
    <row r="271" spans="5:11" x14ac:dyDescent="0.25">
      <c r="E271" s="33"/>
      <c r="F271" s="33"/>
      <c r="G271" s="8"/>
      <c r="H271" s="8"/>
      <c r="I271" s="8"/>
      <c r="J271" s="8"/>
      <c r="K271" s="8"/>
    </row>
    <row r="272" spans="5:11" x14ac:dyDescent="0.25">
      <c r="E272" s="33"/>
      <c r="F272" s="33"/>
      <c r="G272" s="8"/>
      <c r="H272" s="8"/>
      <c r="I272" s="8"/>
      <c r="J272" s="8"/>
      <c r="K272" s="8"/>
    </row>
    <row r="273" spans="5:11" x14ac:dyDescent="0.25">
      <c r="E273" s="33"/>
      <c r="F273" s="33"/>
      <c r="G273" s="8"/>
      <c r="H273" s="8"/>
      <c r="I273" s="8"/>
      <c r="J273" s="8"/>
      <c r="K273" s="8"/>
    </row>
    <row r="274" spans="5:11" x14ac:dyDescent="0.25">
      <c r="E274" s="33"/>
      <c r="F274" s="33"/>
      <c r="G274" s="8"/>
      <c r="H274" s="8"/>
      <c r="I274" s="8"/>
      <c r="J274" s="8"/>
      <c r="K274" s="8"/>
    </row>
    <row r="275" spans="5:11" x14ac:dyDescent="0.25">
      <c r="E275" s="33"/>
      <c r="F275" s="33"/>
      <c r="G275" s="8"/>
      <c r="H275" s="8"/>
      <c r="I275" s="8"/>
      <c r="J275" s="8"/>
      <c r="K275" s="8"/>
    </row>
    <row r="276" spans="5:11" x14ac:dyDescent="0.25">
      <c r="E276" s="33"/>
      <c r="F276" s="33"/>
      <c r="G276" s="8"/>
      <c r="H276" s="8"/>
      <c r="I276" s="8"/>
      <c r="J276" s="8"/>
      <c r="K276" s="8"/>
    </row>
    <row r="277" spans="5:11" x14ac:dyDescent="0.25">
      <c r="E277" s="33"/>
      <c r="F277" s="33"/>
      <c r="G277" s="8"/>
      <c r="H277" s="8"/>
      <c r="I277" s="8"/>
      <c r="J277" s="8"/>
      <c r="K277" s="8"/>
    </row>
    <row r="278" spans="5:11" x14ac:dyDescent="0.25">
      <c r="E278" s="33"/>
      <c r="F278" s="33"/>
      <c r="G278" s="8"/>
      <c r="H278" s="8"/>
      <c r="I278" s="8"/>
      <c r="J278" s="8"/>
      <c r="K278" s="8"/>
    </row>
    <row r="279" spans="5:11" x14ac:dyDescent="0.25">
      <c r="E279" s="33"/>
      <c r="F279" s="33"/>
      <c r="G279" s="8"/>
      <c r="H279" s="8"/>
      <c r="I279" s="8"/>
      <c r="J279" s="8"/>
      <c r="K279" s="8"/>
    </row>
    <row r="280" spans="5:11" x14ac:dyDescent="0.25">
      <c r="E280" s="33"/>
      <c r="F280" s="33"/>
      <c r="G280" s="8"/>
      <c r="H280" s="8"/>
      <c r="I280" s="8"/>
      <c r="J280" s="8"/>
      <c r="K280" s="8"/>
    </row>
    <row r="281" spans="5:11" x14ac:dyDescent="0.25">
      <c r="E281" s="33"/>
      <c r="F281" s="33"/>
      <c r="G281" s="8"/>
      <c r="H281" s="8"/>
      <c r="I281" s="8"/>
      <c r="J281" s="8"/>
      <c r="K281" s="8"/>
    </row>
    <row r="282" spans="5:11" x14ac:dyDescent="0.25">
      <c r="E282" s="33"/>
      <c r="F282" s="33"/>
      <c r="G282" s="8"/>
      <c r="H282" s="8"/>
      <c r="I282" s="8"/>
      <c r="J282" s="8"/>
      <c r="K282" s="8"/>
    </row>
    <row r="283" spans="5:11" x14ac:dyDescent="0.25">
      <c r="E283" s="33"/>
      <c r="F283" s="33"/>
      <c r="G283" s="8"/>
      <c r="H283" s="8"/>
      <c r="I283" s="8"/>
      <c r="J283" s="8"/>
      <c r="K283" s="8"/>
    </row>
    <row r="284" spans="5:11" x14ac:dyDescent="0.25">
      <c r="E284" s="33"/>
      <c r="F284" s="33"/>
      <c r="G284" s="8"/>
      <c r="H284" s="8"/>
      <c r="I284" s="8"/>
      <c r="J284" s="8"/>
      <c r="K284" s="8"/>
    </row>
    <row r="285" spans="5:11" x14ac:dyDescent="0.25">
      <c r="E285" s="33"/>
      <c r="F285" s="33"/>
      <c r="G285" s="8"/>
      <c r="H285" s="8"/>
      <c r="I285" s="8"/>
      <c r="J285" s="8"/>
      <c r="K285" s="8"/>
    </row>
    <row r="286" spans="5:11" x14ac:dyDescent="0.25">
      <c r="E286" s="33"/>
      <c r="F286" s="33"/>
      <c r="G286" s="8"/>
      <c r="H286" s="8"/>
      <c r="I286" s="8"/>
      <c r="J286" s="8"/>
      <c r="K286" s="8"/>
    </row>
    <row r="287" spans="5:11" x14ac:dyDescent="0.25">
      <c r="E287" s="33"/>
      <c r="F287" s="33"/>
      <c r="G287" s="8"/>
      <c r="H287" s="8"/>
      <c r="I287" s="8"/>
      <c r="J287" s="8"/>
      <c r="K287" s="8"/>
    </row>
    <row r="288" spans="5:11" x14ac:dyDescent="0.25">
      <c r="E288" s="33"/>
      <c r="F288" s="33"/>
      <c r="G288" s="8"/>
      <c r="H288" s="8"/>
      <c r="I288" s="8"/>
      <c r="J288" s="8"/>
      <c r="K288" s="8"/>
    </row>
    <row r="289" spans="5:11" x14ac:dyDescent="0.25">
      <c r="E289" s="33"/>
      <c r="F289" s="33"/>
      <c r="G289" s="8"/>
      <c r="H289" s="8"/>
      <c r="I289" s="8"/>
      <c r="J289" s="8"/>
      <c r="K289" s="8"/>
    </row>
    <row r="290" spans="5:11" x14ac:dyDescent="0.25">
      <c r="E290" s="33"/>
      <c r="F290" s="33"/>
      <c r="G290" s="8"/>
      <c r="H290" s="8"/>
      <c r="I290" s="8"/>
      <c r="J290" s="8"/>
      <c r="K290" s="8"/>
    </row>
    <row r="291" spans="5:11" x14ac:dyDescent="0.25">
      <c r="E291" s="33"/>
      <c r="F291" s="33"/>
      <c r="G291" s="8"/>
      <c r="H291" s="8"/>
      <c r="I291" s="8"/>
      <c r="J291" s="8"/>
      <c r="K291" s="8"/>
    </row>
    <row r="292" spans="5:11" x14ac:dyDescent="0.25">
      <c r="E292" s="33"/>
      <c r="F292" s="33"/>
      <c r="G292" s="8"/>
      <c r="H292" s="8"/>
      <c r="I292" s="8"/>
      <c r="J292" s="8"/>
      <c r="K292" s="8"/>
    </row>
    <row r="293" spans="5:11" x14ac:dyDescent="0.25">
      <c r="E293" s="33"/>
      <c r="F293" s="33"/>
      <c r="G293" s="8"/>
      <c r="H293" s="8"/>
      <c r="I293" s="8"/>
      <c r="J293" s="8"/>
      <c r="K293" s="8"/>
    </row>
    <row r="294" spans="5:11" x14ac:dyDescent="0.25">
      <c r="E294" s="33"/>
      <c r="F294" s="33"/>
      <c r="G294" s="8"/>
      <c r="H294" s="8"/>
      <c r="I294" s="8"/>
      <c r="J294" s="8"/>
      <c r="K294" s="8"/>
    </row>
    <row r="295" spans="5:11" x14ac:dyDescent="0.25">
      <c r="E295" s="33"/>
      <c r="F295" s="33"/>
      <c r="G295" s="8"/>
      <c r="H295" s="8"/>
      <c r="I295" s="8"/>
      <c r="J295" s="8"/>
      <c r="K295" s="8"/>
    </row>
    <row r="296" spans="5:11" x14ac:dyDescent="0.25">
      <c r="E296" s="33"/>
      <c r="F296" s="33"/>
      <c r="G296" s="8"/>
      <c r="H296" s="8"/>
      <c r="I296" s="8"/>
      <c r="J296" s="8"/>
      <c r="K296" s="8"/>
    </row>
    <row r="297" spans="5:11" x14ac:dyDescent="0.25">
      <c r="E297" s="33"/>
      <c r="F297" s="33"/>
      <c r="G297" s="8"/>
      <c r="H297" s="8"/>
      <c r="I297" s="8"/>
      <c r="J297" s="8"/>
      <c r="K297" s="8"/>
    </row>
    <row r="298" spans="5:11" x14ac:dyDescent="0.25">
      <c r="E298" s="5"/>
      <c r="F298" s="5"/>
      <c r="G298" s="8"/>
      <c r="H298" s="8"/>
      <c r="I298" s="8"/>
      <c r="J298" s="8"/>
      <c r="K298" s="8"/>
    </row>
    <row r="299" spans="5:11" x14ac:dyDescent="0.25">
      <c r="E299" s="5"/>
      <c r="F299" s="5"/>
      <c r="G299" s="8"/>
      <c r="H299" s="8"/>
      <c r="I299" s="8"/>
      <c r="J299" s="8"/>
      <c r="K299" s="8"/>
    </row>
    <row r="300" spans="5:11" x14ac:dyDescent="0.25">
      <c r="E300" s="5"/>
      <c r="F300" s="5"/>
      <c r="G300" s="8"/>
      <c r="H300" s="8"/>
      <c r="I300" s="8"/>
      <c r="J300" s="8"/>
      <c r="K300" s="8"/>
    </row>
    <row r="301" spans="5:11" x14ac:dyDescent="0.25">
      <c r="E301" s="5"/>
      <c r="F301" s="5"/>
      <c r="G301" s="8"/>
      <c r="H301" s="8"/>
      <c r="I301" s="8"/>
      <c r="J301" s="8"/>
      <c r="K301" s="8"/>
    </row>
    <row r="302" spans="5:11" x14ac:dyDescent="0.25">
      <c r="E302" s="5"/>
      <c r="F302" s="5"/>
      <c r="G302" s="8"/>
      <c r="H302" s="8"/>
      <c r="I302" s="8"/>
      <c r="J302" s="8"/>
      <c r="K302" s="8"/>
    </row>
    <row r="303" spans="5:11" x14ac:dyDescent="0.25">
      <c r="E303" s="5"/>
      <c r="F303" s="5"/>
      <c r="G303" s="8"/>
      <c r="H303" s="8"/>
      <c r="I303" s="8"/>
      <c r="J303" s="8"/>
      <c r="K303" s="8"/>
    </row>
    <row r="304" spans="5:11" x14ac:dyDescent="0.25">
      <c r="E304" s="5"/>
      <c r="F304" s="5"/>
      <c r="G304" s="8"/>
      <c r="H304" s="8"/>
      <c r="I304" s="8"/>
      <c r="J304" s="8"/>
      <c r="K304" s="8"/>
    </row>
    <row r="305" spans="5:11" x14ac:dyDescent="0.25">
      <c r="E305" s="5"/>
      <c r="F305" s="5"/>
      <c r="G305" s="8"/>
      <c r="H305" s="8"/>
      <c r="I305" s="8"/>
      <c r="J305" s="8"/>
      <c r="K305" s="8"/>
    </row>
    <row r="306" spans="5:11" x14ac:dyDescent="0.25">
      <c r="E306" s="5"/>
      <c r="F306" s="5"/>
      <c r="G306" s="8"/>
      <c r="H306" s="8"/>
      <c r="I306" s="8"/>
      <c r="J306" s="8"/>
      <c r="K306" s="8"/>
    </row>
    <row r="307" spans="5:11" x14ac:dyDescent="0.25">
      <c r="E307" s="5"/>
      <c r="F307" s="5"/>
      <c r="G307" s="8"/>
      <c r="H307" s="8"/>
      <c r="I307" s="8"/>
      <c r="J307" s="8"/>
      <c r="K307" s="8"/>
    </row>
    <row r="308" spans="5:11" x14ac:dyDescent="0.25">
      <c r="E308" s="5"/>
      <c r="F308" s="5"/>
      <c r="G308" s="8"/>
      <c r="H308" s="8"/>
      <c r="I308" s="8"/>
      <c r="J308" s="8"/>
      <c r="K308" s="8"/>
    </row>
    <row r="309" spans="5:11" x14ac:dyDescent="0.25">
      <c r="E309" s="5"/>
      <c r="F309" s="5"/>
      <c r="G309" s="8"/>
      <c r="H309" s="8"/>
      <c r="I309" s="8"/>
      <c r="J309" s="8"/>
      <c r="K309" s="8"/>
    </row>
    <row r="310" spans="5:11" x14ac:dyDescent="0.25">
      <c r="E310" s="5"/>
      <c r="F310" s="5"/>
      <c r="G310" s="8"/>
      <c r="H310" s="8"/>
      <c r="I310" s="8"/>
      <c r="J310" s="8"/>
      <c r="K310" s="8"/>
    </row>
    <row r="311" spans="5:11" x14ac:dyDescent="0.25">
      <c r="E311" s="5"/>
      <c r="F311" s="5"/>
      <c r="G311" s="8"/>
      <c r="H311" s="8"/>
      <c r="I311" s="8"/>
      <c r="J311" s="8"/>
      <c r="K311" s="8"/>
    </row>
    <row r="312" spans="5:11" x14ac:dyDescent="0.25">
      <c r="E312" s="5"/>
      <c r="F312" s="5"/>
      <c r="G312" s="8"/>
      <c r="H312" s="8"/>
      <c r="I312" s="8"/>
      <c r="J312" s="8"/>
      <c r="K312" s="8"/>
    </row>
    <row r="313" spans="5:11" x14ac:dyDescent="0.25">
      <c r="E313" s="5"/>
      <c r="F313" s="5"/>
      <c r="G313" s="8"/>
      <c r="H313" s="8"/>
      <c r="I313" s="8"/>
      <c r="J313" s="8"/>
      <c r="K313" s="8"/>
    </row>
    <row r="314" spans="5:11" x14ac:dyDescent="0.25">
      <c r="E314" s="5"/>
      <c r="F314" s="5"/>
      <c r="G314" s="8"/>
      <c r="H314" s="8"/>
      <c r="I314" s="8"/>
      <c r="J314" s="8"/>
      <c r="K314" s="8"/>
    </row>
    <row r="315" spans="5:11" x14ac:dyDescent="0.25">
      <c r="E315" s="5"/>
      <c r="F315" s="5"/>
      <c r="G315" s="8"/>
      <c r="H315" s="8"/>
      <c r="I315" s="8"/>
      <c r="J315" s="8"/>
      <c r="K315" s="8"/>
    </row>
    <row r="316" spans="5:11" x14ac:dyDescent="0.25">
      <c r="E316" s="5"/>
      <c r="F316" s="5"/>
      <c r="G316" s="8"/>
      <c r="H316" s="8"/>
      <c r="I316" s="8"/>
      <c r="J316" s="8"/>
      <c r="K316" s="8"/>
    </row>
    <row r="317" spans="5:11" x14ac:dyDescent="0.25">
      <c r="E317" s="5"/>
      <c r="F317" s="5"/>
      <c r="G317" s="8"/>
      <c r="H317" s="8"/>
      <c r="I317" s="8"/>
      <c r="J317" s="8"/>
      <c r="K317" s="8"/>
    </row>
    <row r="318" spans="5:11" x14ac:dyDescent="0.25">
      <c r="E318" s="5"/>
      <c r="F318" s="5"/>
      <c r="G318" s="8"/>
      <c r="H318" s="8"/>
      <c r="I318" s="8"/>
      <c r="J318" s="8"/>
      <c r="K318" s="8"/>
    </row>
    <row r="319" spans="5:11" x14ac:dyDescent="0.25">
      <c r="E319" s="5"/>
      <c r="F319" s="5"/>
      <c r="G319" s="8"/>
      <c r="H319" s="8"/>
      <c r="I319" s="8"/>
      <c r="J319" s="8"/>
      <c r="K319" s="8"/>
    </row>
    <row r="320" spans="5:11" x14ac:dyDescent="0.25">
      <c r="E320" s="5"/>
      <c r="F320" s="5"/>
      <c r="G320" s="8"/>
      <c r="H320" s="8"/>
      <c r="I320" s="8"/>
      <c r="J320" s="8"/>
      <c r="K320" s="8"/>
    </row>
    <row r="321" spans="5:11" x14ac:dyDescent="0.25">
      <c r="E321" s="5"/>
      <c r="F321" s="5"/>
      <c r="G321" s="8"/>
      <c r="H321" s="8"/>
      <c r="I321" s="8"/>
      <c r="J321" s="8"/>
      <c r="K321" s="8"/>
    </row>
    <row r="322" spans="5:11" x14ac:dyDescent="0.25">
      <c r="E322" s="5"/>
      <c r="F322" s="5"/>
      <c r="G322" s="8"/>
      <c r="H322" s="8"/>
      <c r="I322" s="8"/>
      <c r="J322" s="8"/>
      <c r="K322" s="8"/>
    </row>
    <row r="323" spans="5:11" x14ac:dyDescent="0.25">
      <c r="E323" s="5"/>
      <c r="F323" s="5"/>
      <c r="G323" s="8"/>
      <c r="H323" s="8"/>
      <c r="I323" s="8"/>
      <c r="J323" s="8"/>
      <c r="K323" s="8"/>
    </row>
    <row r="324" spans="5:11" x14ac:dyDescent="0.25">
      <c r="E324" s="5"/>
      <c r="F324" s="5"/>
      <c r="G324" s="8"/>
      <c r="H324" s="8"/>
      <c r="I324" s="8"/>
      <c r="J324" s="8"/>
      <c r="K324" s="8"/>
    </row>
    <row r="325" spans="5:11" x14ac:dyDescent="0.25">
      <c r="E325" s="5"/>
      <c r="F325" s="5"/>
      <c r="G325" s="8"/>
      <c r="H325" s="8"/>
      <c r="I325" s="8"/>
      <c r="J325" s="8"/>
      <c r="K325" s="8"/>
    </row>
    <row r="326" spans="5:11" x14ac:dyDescent="0.25">
      <c r="E326" s="5"/>
      <c r="F326" s="5"/>
      <c r="G326" s="8"/>
      <c r="H326" s="8"/>
      <c r="I326" s="8"/>
      <c r="J326" s="8"/>
      <c r="K326" s="8"/>
    </row>
    <row r="327" spans="5:11" x14ac:dyDescent="0.25">
      <c r="E327" s="5"/>
      <c r="F327" s="5"/>
      <c r="G327" s="8"/>
      <c r="H327" s="8"/>
      <c r="I327" s="8"/>
      <c r="J327" s="8"/>
      <c r="K327" s="8"/>
    </row>
    <row r="328" spans="5:11" x14ac:dyDescent="0.25">
      <c r="E328" s="5"/>
      <c r="F328" s="5"/>
      <c r="G328" s="8"/>
      <c r="H328" s="8"/>
      <c r="I328" s="8"/>
      <c r="J328" s="8"/>
      <c r="K328" s="8"/>
    </row>
    <row r="329" spans="5:11" x14ac:dyDescent="0.25">
      <c r="E329" s="5"/>
      <c r="F329" s="5"/>
      <c r="G329" s="8"/>
      <c r="H329" s="8"/>
      <c r="I329" s="8"/>
      <c r="J329" s="8"/>
      <c r="K329" s="8"/>
    </row>
    <row r="330" spans="5:11" x14ac:dyDescent="0.25">
      <c r="E330" s="5"/>
      <c r="F330" s="5"/>
      <c r="G330" s="8"/>
      <c r="H330" s="8"/>
      <c r="I330" s="8"/>
      <c r="J330" s="8"/>
      <c r="K330" s="8"/>
    </row>
    <row r="331" spans="5:11" x14ac:dyDescent="0.25">
      <c r="E331" s="5"/>
      <c r="F331" s="5"/>
      <c r="G331" s="8"/>
      <c r="H331" s="8"/>
      <c r="I331" s="8"/>
      <c r="J331" s="8"/>
      <c r="K331" s="8"/>
    </row>
    <row r="332" spans="5:11" x14ac:dyDescent="0.25">
      <c r="E332" s="5"/>
      <c r="F332" s="5"/>
      <c r="G332" s="8"/>
      <c r="H332" s="8"/>
      <c r="I332" s="8"/>
      <c r="J332" s="8"/>
      <c r="K332" s="8"/>
    </row>
    <row r="333" spans="5:11" x14ac:dyDescent="0.25">
      <c r="E333" s="5"/>
      <c r="F333" s="5"/>
      <c r="G333" s="8"/>
      <c r="H333" s="8"/>
      <c r="I333" s="8"/>
      <c r="J333" s="8"/>
      <c r="K333" s="8"/>
    </row>
    <row r="334" spans="5:11" x14ac:dyDescent="0.25">
      <c r="E334" s="5"/>
      <c r="F334" s="5"/>
      <c r="G334" s="8"/>
      <c r="H334" s="8"/>
      <c r="I334" s="8"/>
      <c r="J334" s="8"/>
      <c r="K334" s="8"/>
    </row>
    <row r="335" spans="5:11" x14ac:dyDescent="0.25">
      <c r="E335" s="5"/>
      <c r="F335" s="5"/>
      <c r="G335" s="8"/>
      <c r="H335" s="8"/>
      <c r="I335" s="8"/>
      <c r="J335" s="8"/>
      <c r="K335" s="8"/>
    </row>
    <row r="336" spans="5:11" x14ac:dyDescent="0.25">
      <c r="E336" s="5"/>
      <c r="F336" s="5"/>
      <c r="G336" s="8"/>
      <c r="H336" s="8"/>
      <c r="I336" s="8"/>
      <c r="J336" s="8"/>
      <c r="K336" s="8"/>
    </row>
    <row r="337" spans="5:11" x14ac:dyDescent="0.25">
      <c r="E337" s="5"/>
      <c r="F337" s="5"/>
      <c r="G337" s="8"/>
      <c r="H337" s="8"/>
      <c r="I337" s="8"/>
      <c r="J337" s="8"/>
      <c r="K337" s="8"/>
    </row>
    <row r="338" spans="5:11" x14ac:dyDescent="0.25">
      <c r="E338" s="5"/>
      <c r="F338" s="5"/>
      <c r="G338" s="8"/>
      <c r="H338" s="8"/>
      <c r="I338" s="8"/>
      <c r="J338" s="8"/>
      <c r="K338" s="8"/>
    </row>
    <row r="339" spans="5:11" x14ac:dyDescent="0.25">
      <c r="E339" s="5"/>
      <c r="F339" s="5"/>
      <c r="G339" s="8"/>
      <c r="H339" s="8"/>
      <c r="I339" s="8"/>
      <c r="J339" s="8"/>
      <c r="K339" s="8"/>
    </row>
    <row r="340" spans="5:11" x14ac:dyDescent="0.25">
      <c r="E340" s="5"/>
      <c r="F340" s="5"/>
      <c r="G340" s="8"/>
      <c r="H340" s="8"/>
      <c r="I340" s="8"/>
      <c r="J340" s="8"/>
      <c r="K340" s="8"/>
    </row>
    <row r="341" spans="5:11" x14ac:dyDescent="0.25">
      <c r="E341" s="5"/>
      <c r="F341" s="5"/>
      <c r="G341" s="8"/>
      <c r="H341" s="8"/>
      <c r="I341" s="8"/>
      <c r="J341" s="8"/>
      <c r="K341" s="8"/>
    </row>
    <row r="342" spans="5:11" x14ac:dyDescent="0.25">
      <c r="E342" s="5"/>
      <c r="F342" s="5"/>
      <c r="G342" s="8"/>
      <c r="H342" s="8"/>
      <c r="I342" s="8"/>
      <c r="J342" s="8"/>
      <c r="K342" s="8"/>
    </row>
    <row r="343" spans="5:11" x14ac:dyDescent="0.25">
      <c r="E343" s="5"/>
      <c r="F343" s="5"/>
      <c r="G343" s="8"/>
      <c r="H343" s="8"/>
      <c r="I343" s="8"/>
      <c r="J343" s="8"/>
      <c r="K343" s="8"/>
    </row>
    <row r="344" spans="5:11" x14ac:dyDescent="0.25">
      <c r="E344" s="5"/>
      <c r="F344" s="5"/>
      <c r="G344" s="8"/>
      <c r="H344" s="8"/>
      <c r="I344" s="8"/>
      <c r="J344" s="8"/>
      <c r="K344" s="8"/>
    </row>
    <row r="345" spans="5:11" x14ac:dyDescent="0.25">
      <c r="E345" s="5"/>
      <c r="F345" s="5"/>
      <c r="G345" s="8"/>
      <c r="H345" s="8"/>
      <c r="I345" s="8"/>
      <c r="J345" s="8"/>
      <c r="K345" s="8"/>
    </row>
    <row r="346" spans="5:11" x14ac:dyDescent="0.25">
      <c r="E346" s="5"/>
      <c r="F346" s="5"/>
      <c r="G346" s="8"/>
      <c r="H346" s="8"/>
      <c r="I346" s="8"/>
      <c r="J346" s="8"/>
      <c r="K346" s="8"/>
    </row>
    <row r="347" spans="5:11" x14ac:dyDescent="0.25">
      <c r="E347" s="5"/>
      <c r="F347" s="5"/>
      <c r="G347" s="8"/>
      <c r="H347" s="8"/>
      <c r="I347" s="8"/>
      <c r="J347" s="8"/>
      <c r="K347" s="8"/>
    </row>
    <row r="348" spans="5:11" x14ac:dyDescent="0.25">
      <c r="E348" s="5"/>
      <c r="F348" s="5"/>
      <c r="G348" s="8"/>
      <c r="H348" s="8"/>
      <c r="I348" s="8"/>
      <c r="J348" s="8"/>
      <c r="K348" s="8"/>
    </row>
    <row r="349" spans="5:11" x14ac:dyDescent="0.25">
      <c r="E349" s="5"/>
      <c r="F349" s="5"/>
      <c r="G349" s="8"/>
      <c r="H349" s="8"/>
      <c r="I349" s="8"/>
      <c r="J349" s="8"/>
      <c r="K349" s="8"/>
    </row>
    <row r="350" spans="5:11" x14ac:dyDescent="0.25">
      <c r="E350" s="5"/>
      <c r="F350" s="5"/>
      <c r="G350" s="8"/>
      <c r="H350" s="8"/>
      <c r="I350" s="8"/>
      <c r="J350" s="8"/>
      <c r="K350" s="8"/>
    </row>
    <row r="351" spans="5:11" x14ac:dyDescent="0.25">
      <c r="E351" s="5"/>
      <c r="F351" s="5"/>
      <c r="G351" s="8"/>
      <c r="H351" s="8"/>
      <c r="I351" s="8"/>
      <c r="J351" s="8"/>
      <c r="K351" s="8"/>
    </row>
    <row r="352" spans="5:11" x14ac:dyDescent="0.25">
      <c r="E352" s="5"/>
      <c r="F352" s="5"/>
      <c r="G352" s="8"/>
      <c r="H352" s="8"/>
      <c r="I352" s="8"/>
      <c r="J352" s="8"/>
      <c r="K352" s="8"/>
    </row>
    <row r="353" spans="5:11" x14ac:dyDescent="0.25">
      <c r="E353" s="5"/>
      <c r="F353" s="5"/>
      <c r="G353" s="8"/>
      <c r="H353" s="8"/>
      <c r="I353" s="8"/>
      <c r="J353" s="8"/>
      <c r="K353" s="8"/>
    </row>
    <row r="354" spans="5:11" x14ac:dyDescent="0.25">
      <c r="E354" s="5"/>
      <c r="F354" s="5"/>
      <c r="G354" s="8"/>
      <c r="H354" s="8"/>
      <c r="I354" s="8"/>
      <c r="J354" s="8"/>
      <c r="K354" s="8"/>
    </row>
    <row r="355" spans="5:11" x14ac:dyDescent="0.25">
      <c r="E355" s="5"/>
      <c r="F355" s="5"/>
      <c r="G355" s="8"/>
      <c r="H355" s="8"/>
      <c r="I355" s="8"/>
      <c r="J355" s="8"/>
      <c r="K355" s="8"/>
    </row>
    <row r="356" spans="5:11" x14ac:dyDescent="0.25">
      <c r="E356" s="5"/>
      <c r="F356" s="5"/>
      <c r="G356" s="8"/>
      <c r="H356" s="8"/>
      <c r="I356" s="8"/>
      <c r="J356" s="8"/>
      <c r="K356" s="8"/>
    </row>
    <row r="357" spans="5:11" x14ac:dyDescent="0.25">
      <c r="E357" s="5"/>
      <c r="F357" s="5"/>
      <c r="G357" s="8"/>
      <c r="H357" s="8"/>
      <c r="I357" s="8"/>
      <c r="J357" s="8"/>
      <c r="K357" s="8"/>
    </row>
    <row r="358" spans="5:11" x14ac:dyDescent="0.25">
      <c r="E358" s="5"/>
      <c r="F358" s="5"/>
      <c r="G358" s="8"/>
      <c r="H358" s="8"/>
      <c r="I358" s="8"/>
      <c r="J358" s="8"/>
      <c r="K358" s="8"/>
    </row>
    <row r="359" spans="5:11" x14ac:dyDescent="0.25">
      <c r="E359" s="5"/>
      <c r="F359" s="5"/>
      <c r="G359" s="8"/>
      <c r="H359" s="8"/>
      <c r="I359" s="8"/>
      <c r="J359" s="8"/>
      <c r="K359" s="8"/>
    </row>
    <row r="360" spans="5:11" x14ac:dyDescent="0.25">
      <c r="E360" s="5"/>
      <c r="F360" s="5"/>
      <c r="G360" s="8"/>
      <c r="H360" s="8"/>
      <c r="I360" s="8"/>
      <c r="J360" s="8"/>
      <c r="K360" s="8"/>
    </row>
    <row r="361" spans="5:11" x14ac:dyDescent="0.25">
      <c r="E361" s="5"/>
      <c r="F361" s="5"/>
      <c r="G361" s="8"/>
      <c r="H361" s="8"/>
      <c r="I361" s="8"/>
      <c r="J361" s="8"/>
      <c r="K361" s="8"/>
    </row>
    <row r="362" spans="5:11" x14ac:dyDescent="0.25">
      <c r="E362" s="5"/>
      <c r="F362" s="5"/>
      <c r="G362" s="8"/>
      <c r="H362" s="8"/>
      <c r="I362" s="8"/>
      <c r="J362" s="8"/>
      <c r="K362" s="8"/>
    </row>
    <row r="363" spans="5:11" x14ac:dyDescent="0.25">
      <c r="E363" s="5"/>
      <c r="F363" s="5"/>
      <c r="G363" s="8"/>
      <c r="H363" s="8"/>
      <c r="I363" s="8"/>
      <c r="J363" s="8"/>
      <c r="K363" s="8"/>
    </row>
    <row r="364" spans="5:11" x14ac:dyDescent="0.25">
      <c r="E364" s="5"/>
      <c r="F364" s="5"/>
      <c r="G364" s="8"/>
      <c r="H364" s="8"/>
      <c r="I364" s="8"/>
      <c r="J364" s="8"/>
      <c r="K364" s="8"/>
    </row>
    <row r="365" spans="5:11" x14ac:dyDescent="0.25">
      <c r="E365" s="5"/>
      <c r="F365" s="5"/>
      <c r="G365" s="8"/>
      <c r="H365" s="8"/>
      <c r="I365" s="8"/>
      <c r="J365" s="8"/>
      <c r="K365" s="8"/>
    </row>
    <row r="366" spans="5:11" x14ac:dyDescent="0.25">
      <c r="E366" s="5"/>
      <c r="F366" s="5"/>
      <c r="G366" s="8"/>
      <c r="H366" s="8"/>
      <c r="I366" s="8"/>
      <c r="J366" s="8"/>
      <c r="K366" s="8"/>
    </row>
    <row r="367" spans="5:11" x14ac:dyDescent="0.25">
      <c r="E367" s="5"/>
      <c r="F367" s="5"/>
      <c r="G367" s="8"/>
      <c r="H367" s="8"/>
      <c r="I367" s="8"/>
      <c r="J367" s="8"/>
      <c r="K367" s="8"/>
    </row>
    <row r="368" spans="5:11" x14ac:dyDescent="0.25">
      <c r="E368" s="5"/>
      <c r="F368" s="5"/>
      <c r="G368" s="8"/>
      <c r="H368" s="8"/>
      <c r="I368" s="8"/>
      <c r="J368" s="8"/>
      <c r="K368" s="8"/>
    </row>
    <row r="369" spans="5:11" x14ac:dyDescent="0.25">
      <c r="E369" s="5"/>
      <c r="F369" s="5"/>
      <c r="G369" s="8"/>
      <c r="H369" s="8"/>
      <c r="I369" s="8"/>
      <c r="J369" s="8"/>
      <c r="K369" s="8"/>
    </row>
    <row r="370" spans="5:11" x14ac:dyDescent="0.25">
      <c r="E370" s="5"/>
      <c r="F370" s="5"/>
      <c r="G370" s="8"/>
      <c r="H370" s="8"/>
      <c r="I370" s="8"/>
      <c r="J370" s="8"/>
      <c r="K370" s="8"/>
    </row>
    <row r="371" spans="5:11" x14ac:dyDescent="0.25">
      <c r="E371" s="5"/>
      <c r="F371" s="5"/>
      <c r="G371" s="8"/>
      <c r="H371" s="8"/>
      <c r="I371" s="8"/>
      <c r="J371" s="8"/>
      <c r="K371" s="8"/>
    </row>
    <row r="372" spans="5:11" x14ac:dyDescent="0.25">
      <c r="E372" s="5"/>
      <c r="F372" s="5"/>
      <c r="G372" s="8"/>
      <c r="H372" s="8"/>
      <c r="I372" s="8"/>
      <c r="J372" s="8"/>
      <c r="K372" s="8"/>
    </row>
    <row r="373" spans="5:11" x14ac:dyDescent="0.25">
      <c r="E373" s="5"/>
      <c r="F373" s="5"/>
      <c r="G373" s="8"/>
      <c r="H373" s="8"/>
      <c r="I373" s="8"/>
      <c r="J373" s="8"/>
      <c r="K373" s="8"/>
    </row>
    <row r="374" spans="5:11" x14ac:dyDescent="0.25">
      <c r="E374" s="5"/>
      <c r="F374" s="5"/>
      <c r="G374" s="8"/>
      <c r="H374" s="8"/>
      <c r="I374" s="8"/>
      <c r="J374" s="8"/>
      <c r="K374" s="8"/>
    </row>
    <row r="375" spans="5:11" x14ac:dyDescent="0.25">
      <c r="E375" s="5"/>
      <c r="F375" s="5"/>
      <c r="G375" s="8"/>
      <c r="H375" s="8"/>
      <c r="I375" s="8"/>
      <c r="J375" s="8"/>
      <c r="K375" s="8"/>
    </row>
    <row r="376" spans="5:11" x14ac:dyDescent="0.25">
      <c r="E376" s="5"/>
      <c r="F376" s="5"/>
      <c r="G376" s="8"/>
      <c r="H376" s="8"/>
      <c r="I376" s="8"/>
      <c r="J376" s="8"/>
      <c r="K376" s="8"/>
    </row>
    <row r="377" spans="5:11" x14ac:dyDescent="0.25">
      <c r="E377" s="5"/>
      <c r="F377" s="5"/>
      <c r="G377" s="8"/>
      <c r="H377" s="8"/>
      <c r="I377" s="8"/>
      <c r="J377" s="8"/>
      <c r="K377" s="8"/>
    </row>
    <row r="378" spans="5:11" x14ac:dyDescent="0.25">
      <c r="E378" s="5"/>
      <c r="F378" s="5"/>
      <c r="G378" s="8"/>
      <c r="H378" s="8"/>
      <c r="I378" s="8"/>
      <c r="J378" s="8"/>
      <c r="K378" s="8"/>
    </row>
    <row r="379" spans="5:11" x14ac:dyDescent="0.25">
      <c r="E379" s="5"/>
      <c r="F379" s="5"/>
      <c r="G379" s="8"/>
      <c r="H379" s="8"/>
      <c r="I379" s="8"/>
      <c r="J379" s="8"/>
      <c r="K379" s="8"/>
    </row>
    <row r="380" spans="5:11" x14ac:dyDescent="0.25">
      <c r="E380" s="5"/>
      <c r="F380" s="5"/>
      <c r="G380" s="8"/>
      <c r="H380" s="8"/>
      <c r="I380" s="8"/>
      <c r="J380" s="8"/>
      <c r="K380" s="8"/>
    </row>
    <row r="381" spans="5:11" x14ac:dyDescent="0.25">
      <c r="E381" s="5"/>
      <c r="F381" s="5"/>
      <c r="G381" s="8"/>
      <c r="H381" s="8"/>
      <c r="I381" s="8"/>
      <c r="J381" s="8"/>
      <c r="K381" s="8"/>
    </row>
    <row r="382" spans="5:11" x14ac:dyDescent="0.25">
      <c r="E382" s="5"/>
      <c r="F382" s="5"/>
      <c r="G382" s="8"/>
      <c r="H382" s="8"/>
      <c r="I382" s="8"/>
      <c r="J382" s="8"/>
      <c r="K382" s="8"/>
    </row>
    <row r="383" spans="5:11" x14ac:dyDescent="0.25">
      <c r="E383" s="5"/>
      <c r="F383" s="5"/>
      <c r="G383" s="8"/>
      <c r="H383" s="8"/>
      <c r="I383" s="8"/>
      <c r="J383" s="8"/>
      <c r="K383" s="8"/>
    </row>
    <row r="384" spans="5:11" x14ac:dyDescent="0.25">
      <c r="E384" s="5"/>
      <c r="F384" s="5"/>
      <c r="G384" s="8"/>
      <c r="H384" s="8"/>
      <c r="I384" s="8"/>
      <c r="J384" s="8"/>
      <c r="K384" s="8"/>
    </row>
    <row r="385" spans="5:11" x14ac:dyDescent="0.25">
      <c r="E385" s="5"/>
      <c r="F385" s="5"/>
      <c r="G385" s="8"/>
      <c r="H385" s="8"/>
      <c r="I385" s="8"/>
      <c r="J385" s="8"/>
      <c r="K385" s="8"/>
    </row>
    <row r="386" spans="5:11" x14ac:dyDescent="0.25">
      <c r="E386" s="5"/>
      <c r="F386" s="5"/>
      <c r="G386" s="8"/>
      <c r="H386" s="8"/>
      <c r="I386" s="8"/>
      <c r="J386" s="8"/>
      <c r="K386" s="8"/>
    </row>
    <row r="387" spans="5:11" x14ac:dyDescent="0.25">
      <c r="E387" s="5"/>
      <c r="F387" s="5"/>
      <c r="G387" s="8"/>
      <c r="H387" s="8"/>
      <c r="I387" s="8"/>
      <c r="J387" s="8"/>
      <c r="K387" s="8"/>
    </row>
    <row r="388" spans="5:11" x14ac:dyDescent="0.25">
      <c r="E388" s="5"/>
      <c r="F388" s="5"/>
      <c r="G388" s="8"/>
      <c r="H388" s="8"/>
      <c r="I388" s="8"/>
      <c r="J388" s="8"/>
      <c r="K388" s="8"/>
    </row>
    <row r="389" spans="5:11" x14ac:dyDescent="0.25">
      <c r="E389" s="5"/>
      <c r="F389" s="5"/>
      <c r="G389" s="8"/>
      <c r="H389" s="8"/>
      <c r="I389" s="8"/>
      <c r="J389" s="8"/>
      <c r="K389" s="8"/>
    </row>
    <row r="390" spans="5:11" x14ac:dyDescent="0.25">
      <c r="E390" s="5"/>
      <c r="F390" s="5"/>
      <c r="G390" s="8"/>
      <c r="H390" s="8"/>
      <c r="I390" s="8"/>
      <c r="J390" s="8"/>
      <c r="K390" s="8"/>
    </row>
    <row r="391" spans="5:11" x14ac:dyDescent="0.25">
      <c r="E391" s="5"/>
      <c r="F391" s="5"/>
      <c r="G391" s="8"/>
      <c r="H391" s="8"/>
      <c r="I391" s="8"/>
      <c r="J391" s="8"/>
      <c r="K391" s="8"/>
    </row>
    <row r="392" spans="5:11" x14ac:dyDescent="0.25">
      <c r="E392" s="5"/>
      <c r="F392" s="5"/>
      <c r="G392" s="8"/>
      <c r="H392" s="8"/>
      <c r="I392" s="8"/>
      <c r="J392" s="8"/>
      <c r="K392" s="8"/>
    </row>
    <row r="393" spans="5:11" x14ac:dyDescent="0.25">
      <c r="E393" s="5"/>
      <c r="F393" s="5"/>
      <c r="G393" s="8"/>
      <c r="H393" s="8"/>
      <c r="I393" s="8"/>
      <c r="J393" s="8"/>
      <c r="K393" s="8"/>
    </row>
    <row r="394" spans="5:11" x14ac:dyDescent="0.25">
      <c r="E394" s="5"/>
      <c r="F394" s="5"/>
      <c r="G394" s="8"/>
      <c r="H394" s="8"/>
      <c r="I394" s="8"/>
      <c r="J394" s="8"/>
      <c r="K394" s="8"/>
    </row>
    <row r="395" spans="5:11" x14ac:dyDescent="0.25">
      <c r="E395" s="5"/>
      <c r="F395" s="5"/>
      <c r="G395" s="8"/>
      <c r="H395" s="8"/>
      <c r="I395" s="8"/>
      <c r="J395" s="8"/>
      <c r="K395" s="8"/>
    </row>
    <row r="396" spans="5:11" x14ac:dyDescent="0.25">
      <c r="E396" s="5"/>
      <c r="F396" s="5"/>
      <c r="G396" s="8"/>
      <c r="H396" s="8"/>
      <c r="I396" s="8"/>
      <c r="J396" s="8"/>
      <c r="K396" s="8"/>
    </row>
    <row r="397" spans="5:11" x14ac:dyDescent="0.25">
      <c r="E397" s="5"/>
      <c r="F397" s="5"/>
      <c r="G397" s="8"/>
      <c r="H397" s="8"/>
      <c r="I397" s="8"/>
      <c r="J397" s="8"/>
      <c r="K397" s="8"/>
    </row>
    <row r="398" spans="5:11" x14ac:dyDescent="0.25">
      <c r="E398" s="5"/>
      <c r="F398" s="5"/>
      <c r="G398" s="8"/>
      <c r="H398" s="8"/>
      <c r="I398" s="8"/>
      <c r="J398" s="8"/>
      <c r="K398" s="8"/>
    </row>
    <row r="399" spans="5:11" x14ac:dyDescent="0.25">
      <c r="E399" s="5"/>
      <c r="F399" s="5"/>
      <c r="G399" s="8"/>
      <c r="H399" s="8"/>
      <c r="I399" s="8"/>
      <c r="J399" s="8"/>
      <c r="K399" s="8"/>
    </row>
    <row r="400" spans="5:11" x14ac:dyDescent="0.25">
      <c r="E400" s="5"/>
      <c r="F400" s="5"/>
      <c r="G400" s="8"/>
      <c r="H400" s="8"/>
      <c r="I400" s="8"/>
      <c r="J400" s="8"/>
      <c r="K400" s="8"/>
    </row>
    <row r="401" spans="5:11" x14ac:dyDescent="0.25">
      <c r="E401" s="5"/>
      <c r="F401" s="5"/>
      <c r="G401" s="8"/>
      <c r="H401" s="8"/>
      <c r="I401" s="8"/>
      <c r="J401" s="8"/>
      <c r="K401" s="8"/>
    </row>
    <row r="402" spans="5:11" x14ac:dyDescent="0.25">
      <c r="E402" s="5"/>
      <c r="F402" s="5"/>
      <c r="G402" s="8"/>
      <c r="H402" s="8"/>
      <c r="I402" s="8"/>
      <c r="J402" s="8"/>
      <c r="K402" s="8"/>
    </row>
    <row r="403" spans="5:11" x14ac:dyDescent="0.25">
      <c r="E403" s="5"/>
      <c r="F403" s="5"/>
      <c r="G403" s="8"/>
      <c r="H403" s="8"/>
      <c r="I403" s="8"/>
      <c r="J403" s="8"/>
      <c r="K403" s="8"/>
    </row>
    <row r="404" spans="5:11" x14ac:dyDescent="0.25">
      <c r="E404" s="5"/>
      <c r="F404" s="5"/>
      <c r="G404" s="8"/>
      <c r="H404" s="8"/>
      <c r="I404" s="8"/>
      <c r="J404" s="8"/>
      <c r="K404" s="8"/>
    </row>
    <row r="405" spans="5:11" x14ac:dyDescent="0.25">
      <c r="E405" s="5"/>
      <c r="F405" s="5"/>
      <c r="G405" s="8"/>
      <c r="H405" s="8"/>
      <c r="I405" s="8"/>
      <c r="J405" s="8"/>
      <c r="K405" s="8"/>
    </row>
    <row r="406" spans="5:11" x14ac:dyDescent="0.25">
      <c r="E406" s="5"/>
      <c r="F406" s="5"/>
      <c r="G406" s="8"/>
      <c r="H406" s="8"/>
      <c r="I406" s="8"/>
      <c r="J406" s="8"/>
      <c r="K406" s="8"/>
    </row>
    <row r="407" spans="5:11" x14ac:dyDescent="0.25">
      <c r="E407" s="5"/>
      <c r="F407" s="5"/>
      <c r="G407" s="8"/>
      <c r="H407" s="8"/>
      <c r="I407" s="8"/>
      <c r="J407" s="8"/>
      <c r="K407" s="8"/>
    </row>
    <row r="408" spans="5:11" x14ac:dyDescent="0.25">
      <c r="E408" s="5"/>
      <c r="F408" s="5"/>
      <c r="G408" s="8"/>
      <c r="H408" s="8"/>
      <c r="I408" s="8"/>
      <c r="J408" s="8"/>
      <c r="K408" s="8"/>
    </row>
    <row r="409" spans="5:11" x14ac:dyDescent="0.25">
      <c r="E409" s="5"/>
      <c r="F409" s="5"/>
      <c r="G409" s="8"/>
      <c r="H409" s="8"/>
      <c r="I409" s="8"/>
      <c r="J409" s="8"/>
      <c r="K409" s="8"/>
    </row>
    <row r="410" spans="5:11" x14ac:dyDescent="0.25">
      <c r="E410" s="5"/>
      <c r="F410" s="5"/>
      <c r="G410" s="8"/>
      <c r="H410" s="8"/>
      <c r="I410" s="8"/>
      <c r="J410" s="8"/>
      <c r="K410" s="8"/>
    </row>
    <row r="411" spans="5:11" x14ac:dyDescent="0.25">
      <c r="E411" s="5"/>
      <c r="F411" s="5"/>
      <c r="G411" s="8"/>
      <c r="H411" s="8"/>
      <c r="I411" s="8"/>
      <c r="J411" s="8"/>
      <c r="K411" s="8"/>
    </row>
    <row r="412" spans="5:11" x14ac:dyDescent="0.25">
      <c r="E412" s="5"/>
      <c r="F412" s="5"/>
      <c r="G412" s="8"/>
      <c r="H412" s="8"/>
      <c r="I412" s="8"/>
      <c r="J412" s="8"/>
      <c r="K412" s="8"/>
    </row>
    <row r="413" spans="5:11" x14ac:dyDescent="0.25">
      <c r="E413" s="5"/>
      <c r="F413" s="5"/>
      <c r="G413" s="8"/>
      <c r="H413" s="8"/>
      <c r="I413" s="8"/>
      <c r="J413" s="8"/>
      <c r="K413" s="8"/>
    </row>
    <row r="414" spans="5:11" x14ac:dyDescent="0.25">
      <c r="E414" s="5"/>
      <c r="F414" s="5"/>
      <c r="G414" s="8"/>
      <c r="H414" s="8"/>
      <c r="I414" s="8"/>
      <c r="J414" s="8"/>
      <c r="K414" s="8"/>
    </row>
    <row r="415" spans="5:11" x14ac:dyDescent="0.25">
      <c r="E415" s="5"/>
      <c r="F415" s="5"/>
      <c r="G415" s="8"/>
      <c r="H415" s="8"/>
      <c r="I415" s="8"/>
      <c r="J415" s="8"/>
      <c r="K415" s="8"/>
    </row>
    <row r="416" spans="5:11" x14ac:dyDescent="0.25">
      <c r="E416" s="5"/>
      <c r="F416" s="5"/>
      <c r="G416" s="8"/>
      <c r="H416" s="8"/>
      <c r="I416" s="8"/>
      <c r="J416" s="8"/>
      <c r="K416" s="8"/>
    </row>
    <row r="417" spans="5:11" x14ac:dyDescent="0.25">
      <c r="E417" s="5"/>
      <c r="F417" s="5"/>
      <c r="G417" s="8"/>
      <c r="H417" s="8"/>
      <c r="I417" s="8"/>
      <c r="J417" s="8"/>
      <c r="K417" s="8"/>
    </row>
    <row r="418" spans="5:11" x14ac:dyDescent="0.25">
      <c r="E418" s="5"/>
      <c r="F418" s="5"/>
      <c r="G418" s="8"/>
      <c r="H418" s="8"/>
      <c r="I418" s="8"/>
      <c r="J418" s="8"/>
      <c r="K418" s="8"/>
    </row>
    <row r="419" spans="5:11" x14ac:dyDescent="0.25">
      <c r="E419" s="5"/>
      <c r="F419" s="5"/>
      <c r="G419" s="8"/>
      <c r="H419" s="8"/>
      <c r="I419" s="8"/>
      <c r="J419" s="8"/>
      <c r="K419" s="8"/>
    </row>
    <row r="420" spans="5:11" x14ac:dyDescent="0.25">
      <c r="E420" s="5"/>
      <c r="F420" s="5"/>
      <c r="G420" s="8"/>
      <c r="H420" s="8"/>
      <c r="I420" s="8"/>
      <c r="J420" s="8"/>
      <c r="K420" s="8"/>
    </row>
    <row r="421" spans="5:11" x14ac:dyDescent="0.25">
      <c r="E421" s="5"/>
      <c r="F421" s="5"/>
      <c r="G421" s="8"/>
      <c r="H421" s="8"/>
      <c r="I421" s="8"/>
      <c r="J421" s="8"/>
      <c r="K421" s="8"/>
    </row>
    <row r="422" spans="5:11" x14ac:dyDescent="0.25">
      <c r="E422" s="5"/>
      <c r="F422" s="5"/>
      <c r="G422" s="8"/>
      <c r="H422" s="8"/>
      <c r="I422" s="8"/>
      <c r="J422" s="8"/>
      <c r="K422" s="8"/>
    </row>
    <row r="423" spans="5:11" x14ac:dyDescent="0.25">
      <c r="E423" s="5"/>
      <c r="F423" s="5"/>
      <c r="G423" s="8"/>
      <c r="H423" s="8"/>
      <c r="I423" s="8"/>
      <c r="J423" s="8"/>
      <c r="K423" s="8"/>
    </row>
    <row r="424" spans="5:11" x14ac:dyDescent="0.25">
      <c r="E424" s="5"/>
      <c r="F424" s="5"/>
      <c r="G424" s="8"/>
      <c r="H424" s="8"/>
      <c r="I424" s="8"/>
      <c r="J424" s="8"/>
      <c r="K424" s="8"/>
    </row>
    <row r="425" spans="5:11" x14ac:dyDescent="0.25">
      <c r="E425" s="5"/>
      <c r="F425" s="5"/>
      <c r="G425" s="8"/>
      <c r="H425" s="8"/>
      <c r="I425" s="8"/>
      <c r="J425" s="8"/>
      <c r="K425" s="8"/>
    </row>
    <row r="426" spans="5:11" x14ac:dyDescent="0.25">
      <c r="E426" s="5"/>
      <c r="F426" s="5"/>
      <c r="G426" s="8"/>
      <c r="H426" s="8"/>
      <c r="I426" s="8"/>
      <c r="J426" s="8"/>
      <c r="K426" s="8"/>
    </row>
    <row r="427" spans="5:11" x14ac:dyDescent="0.25">
      <c r="E427" s="5"/>
      <c r="F427" s="5"/>
      <c r="G427" s="8"/>
      <c r="H427" s="8"/>
      <c r="I427" s="8"/>
      <c r="J427" s="8"/>
      <c r="K427" s="8"/>
    </row>
    <row r="428" spans="5:11" x14ac:dyDescent="0.25">
      <c r="E428" s="5"/>
      <c r="F428" s="5"/>
      <c r="G428" s="8"/>
      <c r="H428" s="8"/>
      <c r="I428" s="8"/>
      <c r="J428" s="8"/>
      <c r="K428" s="8"/>
    </row>
    <row r="429" spans="5:11" x14ac:dyDescent="0.25">
      <c r="E429" s="5"/>
      <c r="F429" s="5"/>
      <c r="G429" s="8"/>
      <c r="H429" s="8"/>
      <c r="I429" s="8"/>
      <c r="J429" s="8"/>
      <c r="K429" s="8"/>
    </row>
    <row r="430" spans="5:11" x14ac:dyDescent="0.25">
      <c r="E430" s="5"/>
      <c r="F430" s="5"/>
      <c r="G430" s="8"/>
      <c r="H430" s="8"/>
      <c r="I430" s="8"/>
      <c r="J430" s="8"/>
      <c r="K430" s="8"/>
    </row>
    <row r="431" spans="5:11" x14ac:dyDescent="0.25">
      <c r="E431" s="5"/>
      <c r="F431" s="5"/>
      <c r="G431" s="8"/>
      <c r="H431" s="8"/>
      <c r="I431" s="8"/>
      <c r="J431" s="8"/>
      <c r="K431" s="8"/>
    </row>
    <row r="432" spans="5:11" x14ac:dyDescent="0.25">
      <c r="E432" s="5"/>
      <c r="F432" s="5"/>
      <c r="G432" s="8"/>
      <c r="H432" s="8"/>
      <c r="I432" s="8"/>
      <c r="J432" s="8"/>
      <c r="K432" s="8"/>
    </row>
    <row r="433" spans="5:11" x14ac:dyDescent="0.25">
      <c r="E433" s="5"/>
      <c r="F433" s="5"/>
      <c r="G433" s="8"/>
      <c r="H433" s="8"/>
      <c r="I433" s="8"/>
      <c r="J433" s="8"/>
      <c r="K433" s="8"/>
    </row>
    <row r="434" spans="5:11" x14ac:dyDescent="0.25">
      <c r="E434" s="5"/>
      <c r="F434" s="5"/>
      <c r="G434" s="8"/>
      <c r="H434" s="8"/>
      <c r="I434" s="8"/>
      <c r="J434" s="8"/>
      <c r="K434" s="8"/>
    </row>
    <row r="435" spans="5:11" x14ac:dyDescent="0.25">
      <c r="E435" s="5"/>
      <c r="F435" s="5"/>
      <c r="G435" s="8"/>
      <c r="H435" s="8"/>
      <c r="I435" s="8"/>
      <c r="J435" s="8"/>
      <c r="K435" s="8"/>
    </row>
    <row r="436" spans="5:11" x14ac:dyDescent="0.25">
      <c r="E436" s="5"/>
      <c r="F436" s="5"/>
      <c r="G436" s="8"/>
      <c r="H436" s="8"/>
      <c r="I436" s="8"/>
      <c r="J436" s="8"/>
      <c r="K436" s="8"/>
    </row>
    <row r="437" spans="5:11" x14ac:dyDescent="0.25">
      <c r="E437" s="5"/>
      <c r="F437" s="5"/>
      <c r="G437" s="8"/>
      <c r="H437" s="8"/>
      <c r="I437" s="8"/>
      <c r="J437" s="8"/>
      <c r="K437" s="8"/>
    </row>
    <row r="438" spans="5:11" x14ac:dyDescent="0.25">
      <c r="E438" s="5"/>
      <c r="F438" s="5"/>
      <c r="G438" s="8"/>
      <c r="H438" s="8"/>
      <c r="I438" s="8"/>
      <c r="J438" s="8"/>
      <c r="K438" s="8"/>
    </row>
    <row r="439" spans="5:11" x14ac:dyDescent="0.25">
      <c r="E439" s="5"/>
      <c r="F439" s="5"/>
      <c r="G439" s="8"/>
      <c r="H439" s="8"/>
      <c r="I439" s="8"/>
      <c r="J439" s="8"/>
      <c r="K439" s="8"/>
    </row>
    <row r="440" spans="5:11" x14ac:dyDescent="0.25">
      <c r="E440" s="5"/>
      <c r="F440" s="5"/>
      <c r="G440" s="8"/>
      <c r="H440" s="8"/>
      <c r="I440" s="8"/>
      <c r="J440" s="8"/>
      <c r="K440" s="8"/>
    </row>
    <row r="441" spans="5:11" x14ac:dyDescent="0.25">
      <c r="E441" s="5"/>
      <c r="F441" s="5"/>
      <c r="G441" s="8"/>
      <c r="H441" s="8"/>
      <c r="I441" s="8"/>
      <c r="J441" s="8"/>
      <c r="K441" s="8"/>
    </row>
    <row r="442" spans="5:11" x14ac:dyDescent="0.25">
      <c r="E442" s="5"/>
      <c r="F442" s="5"/>
      <c r="G442" s="8"/>
      <c r="H442" s="8"/>
      <c r="I442" s="8"/>
      <c r="J442" s="8"/>
      <c r="K442" s="8"/>
    </row>
    <row r="443" spans="5:11" x14ac:dyDescent="0.25">
      <c r="E443" s="5"/>
      <c r="F443" s="5"/>
      <c r="G443" s="8"/>
      <c r="H443" s="8"/>
      <c r="I443" s="8"/>
      <c r="J443" s="8"/>
      <c r="K443" s="8"/>
    </row>
    <row r="444" spans="5:11" x14ac:dyDescent="0.25">
      <c r="E444" s="5"/>
      <c r="F444" s="5"/>
      <c r="G444" s="8"/>
      <c r="H444" s="8"/>
      <c r="I444" s="8"/>
      <c r="J444" s="8"/>
      <c r="K444" s="8"/>
    </row>
    <row r="445" spans="5:11" x14ac:dyDescent="0.25">
      <c r="E445" s="5"/>
      <c r="F445" s="5"/>
      <c r="G445" s="8"/>
      <c r="H445" s="8"/>
      <c r="I445" s="8"/>
      <c r="J445" s="8"/>
      <c r="K445" s="8"/>
    </row>
    <row r="446" spans="5:11" x14ac:dyDescent="0.25">
      <c r="E446" s="5"/>
      <c r="F446" s="5"/>
      <c r="G446" s="8"/>
      <c r="H446" s="8"/>
      <c r="I446" s="8"/>
      <c r="J446" s="8"/>
      <c r="K446" s="8"/>
    </row>
    <row r="447" spans="5:11" x14ac:dyDescent="0.25">
      <c r="E447" s="5"/>
      <c r="F447" s="5"/>
      <c r="G447" s="8"/>
      <c r="H447" s="8"/>
      <c r="I447" s="8"/>
      <c r="J447" s="8"/>
      <c r="K447" s="8"/>
    </row>
    <row r="448" spans="5:11" x14ac:dyDescent="0.25">
      <c r="E448" s="5"/>
      <c r="F448" s="5"/>
      <c r="G448" s="8"/>
      <c r="H448" s="8"/>
      <c r="I448" s="8"/>
      <c r="J448" s="8"/>
      <c r="K448" s="8"/>
    </row>
    <row r="449" spans="5:11" x14ac:dyDescent="0.25">
      <c r="E449" s="5"/>
      <c r="F449" s="5"/>
      <c r="G449" s="8"/>
      <c r="H449" s="8"/>
      <c r="I449" s="8"/>
      <c r="J449" s="8"/>
      <c r="K449" s="8"/>
    </row>
    <row r="450" spans="5:11" x14ac:dyDescent="0.25">
      <c r="E450" s="5"/>
      <c r="F450" s="5"/>
      <c r="G450" s="8"/>
      <c r="H450" s="8"/>
      <c r="I450" s="8"/>
      <c r="J450" s="8"/>
      <c r="K450" s="8"/>
    </row>
    <row r="451" spans="5:11" x14ac:dyDescent="0.25">
      <c r="E451" s="5"/>
      <c r="F451" s="5"/>
      <c r="G451" s="8"/>
      <c r="H451" s="8"/>
      <c r="I451" s="8"/>
      <c r="J451" s="8"/>
      <c r="K451" s="8"/>
    </row>
    <row r="452" spans="5:11" x14ac:dyDescent="0.25">
      <c r="E452" s="5"/>
      <c r="F452" s="5"/>
      <c r="G452" s="8"/>
      <c r="H452" s="8"/>
      <c r="I452" s="8"/>
      <c r="J452" s="8"/>
      <c r="K452" s="8"/>
    </row>
    <row r="453" spans="5:11" x14ac:dyDescent="0.25">
      <c r="E453" s="5"/>
      <c r="F453" s="5"/>
      <c r="G453" s="8"/>
      <c r="H453" s="8"/>
      <c r="I453" s="8"/>
      <c r="J453" s="8"/>
      <c r="K453" s="8"/>
    </row>
    <row r="454" spans="5:11" x14ac:dyDescent="0.25">
      <c r="E454" s="5"/>
      <c r="F454" s="5"/>
      <c r="G454" s="8"/>
      <c r="H454" s="8"/>
      <c r="I454" s="8"/>
      <c r="J454" s="8"/>
      <c r="K454" s="8"/>
    </row>
    <row r="455" spans="5:11" x14ac:dyDescent="0.25">
      <c r="E455" s="5"/>
      <c r="F455" s="5"/>
      <c r="G455" s="8"/>
      <c r="H455" s="8"/>
      <c r="I455" s="8"/>
      <c r="J455" s="8"/>
      <c r="K455" s="8"/>
    </row>
    <row r="456" spans="5:11" x14ac:dyDescent="0.25">
      <c r="E456" s="5"/>
      <c r="F456" s="5"/>
      <c r="G456" s="8"/>
      <c r="H456" s="8"/>
      <c r="I456" s="8"/>
      <c r="J456" s="8"/>
      <c r="K456" s="8"/>
    </row>
    <row r="457" spans="5:11" x14ac:dyDescent="0.25">
      <c r="E457" s="5"/>
      <c r="F457" s="5"/>
      <c r="G457" s="8"/>
      <c r="H457" s="8"/>
      <c r="I457" s="8"/>
      <c r="J457" s="8"/>
      <c r="K457" s="8"/>
    </row>
    <row r="458" spans="5:11" x14ac:dyDescent="0.25">
      <c r="E458" s="5"/>
      <c r="F458" s="5"/>
      <c r="G458" s="8"/>
      <c r="H458" s="8"/>
      <c r="I458" s="8"/>
      <c r="J458" s="8"/>
      <c r="K458" s="8"/>
    </row>
    <row r="459" spans="5:11" x14ac:dyDescent="0.25">
      <c r="E459" s="5"/>
      <c r="F459" s="5"/>
      <c r="G459" s="8"/>
      <c r="H459" s="8"/>
      <c r="I459" s="8"/>
      <c r="J459" s="8"/>
      <c r="K459" s="8"/>
    </row>
    <row r="460" spans="5:11" x14ac:dyDescent="0.25">
      <c r="E460" s="5"/>
      <c r="F460" s="5"/>
      <c r="G460" s="8"/>
      <c r="H460" s="8"/>
      <c r="I460" s="8"/>
      <c r="J460" s="8"/>
      <c r="K460" s="8"/>
    </row>
    <row r="461" spans="5:11" x14ac:dyDescent="0.25">
      <c r="E461" s="5"/>
      <c r="F461" s="5"/>
      <c r="G461" s="8"/>
      <c r="H461" s="8"/>
      <c r="I461" s="8"/>
      <c r="J461" s="8"/>
      <c r="K461" s="8"/>
    </row>
    <row r="462" spans="5:11" x14ac:dyDescent="0.25">
      <c r="E462" s="5"/>
      <c r="F462" s="5"/>
      <c r="G462" s="8"/>
      <c r="H462" s="8"/>
      <c r="I462" s="8"/>
      <c r="J462" s="8"/>
      <c r="K462" s="8"/>
    </row>
    <row r="463" spans="5:11" x14ac:dyDescent="0.25">
      <c r="E463" s="5"/>
      <c r="F463" s="5"/>
      <c r="G463" s="8"/>
      <c r="H463" s="8"/>
      <c r="I463" s="8"/>
      <c r="J463" s="8"/>
      <c r="K463" s="8"/>
    </row>
    <row r="464" spans="5:11" x14ac:dyDescent="0.25">
      <c r="E464" s="5"/>
      <c r="F464" s="5"/>
      <c r="G464" s="8"/>
      <c r="H464" s="8"/>
      <c r="I464" s="8"/>
      <c r="J464" s="8"/>
      <c r="K464" s="8"/>
    </row>
    <row r="465" spans="5:11" x14ac:dyDescent="0.25">
      <c r="E465" s="5"/>
      <c r="F465" s="5"/>
      <c r="G465" s="8"/>
      <c r="H465" s="8"/>
      <c r="I465" s="8"/>
      <c r="J465" s="8"/>
      <c r="K465" s="8"/>
    </row>
    <row r="466" spans="5:11" x14ac:dyDescent="0.25">
      <c r="E466" s="5"/>
      <c r="F466" s="5"/>
      <c r="G466" s="8"/>
      <c r="H466" s="8"/>
      <c r="I466" s="8"/>
      <c r="J466" s="8"/>
      <c r="K466" s="8"/>
    </row>
    <row r="467" spans="5:11" x14ac:dyDescent="0.25">
      <c r="E467" s="5"/>
      <c r="F467" s="5"/>
      <c r="G467" s="8"/>
      <c r="H467" s="8"/>
      <c r="I467" s="8"/>
      <c r="J467" s="8"/>
      <c r="K467" s="8"/>
    </row>
    <row r="468" spans="5:11" x14ac:dyDescent="0.25">
      <c r="E468" s="5"/>
      <c r="F468" s="5"/>
      <c r="G468" s="8"/>
      <c r="H468" s="8"/>
      <c r="I468" s="8"/>
      <c r="J468" s="8"/>
      <c r="K468" s="8"/>
    </row>
    <row r="469" spans="5:11" x14ac:dyDescent="0.25">
      <c r="E469" s="5"/>
      <c r="F469" s="5"/>
      <c r="G469" s="8"/>
      <c r="H469" s="8"/>
      <c r="I469" s="8"/>
      <c r="J469" s="8"/>
      <c r="K469" s="8"/>
    </row>
    <row r="470" spans="5:11" x14ac:dyDescent="0.25">
      <c r="E470" s="5"/>
      <c r="F470" s="5"/>
      <c r="G470" s="8"/>
      <c r="H470" s="8"/>
      <c r="I470" s="8"/>
      <c r="J470" s="8"/>
      <c r="K470" s="8"/>
    </row>
    <row r="471" spans="5:11" x14ac:dyDescent="0.25">
      <c r="E471" s="5"/>
      <c r="F471" s="5"/>
      <c r="G471" s="8"/>
      <c r="H471" s="8"/>
      <c r="I471" s="8"/>
      <c r="J471" s="8"/>
      <c r="K471" s="8"/>
    </row>
    <row r="472" spans="5:11" x14ac:dyDescent="0.25">
      <c r="E472" s="5"/>
      <c r="F472" s="5"/>
      <c r="G472" s="8"/>
      <c r="H472" s="8"/>
      <c r="I472" s="8"/>
      <c r="J472" s="8"/>
      <c r="K472" s="8"/>
    </row>
    <row r="473" spans="5:11" x14ac:dyDescent="0.25">
      <c r="E473" s="5"/>
      <c r="F473" s="5"/>
      <c r="G473" s="8"/>
      <c r="H473" s="8"/>
      <c r="I473" s="8"/>
      <c r="J473" s="8"/>
      <c r="K473" s="8"/>
    </row>
    <row r="474" spans="5:11" x14ac:dyDescent="0.25">
      <c r="E474" s="5"/>
      <c r="F474" s="5"/>
      <c r="G474" s="8"/>
      <c r="H474" s="8"/>
      <c r="I474" s="8"/>
      <c r="J474" s="8"/>
      <c r="K474" s="8"/>
    </row>
    <row r="475" spans="5:11" x14ac:dyDescent="0.25">
      <c r="E475" s="5"/>
      <c r="F475" s="5"/>
      <c r="G475" s="8"/>
      <c r="H475" s="8"/>
      <c r="I475" s="8"/>
      <c r="J475" s="8"/>
      <c r="K475" s="8"/>
    </row>
    <row r="476" spans="5:11" x14ac:dyDescent="0.25">
      <c r="E476" s="5"/>
      <c r="F476" s="5"/>
      <c r="G476" s="8"/>
      <c r="H476" s="8"/>
      <c r="I476" s="8"/>
      <c r="J476" s="8"/>
      <c r="K476" s="8"/>
    </row>
    <row r="477" spans="5:11" x14ac:dyDescent="0.25">
      <c r="E477" s="5"/>
      <c r="F477" s="5"/>
      <c r="G477" s="8"/>
      <c r="H477" s="8"/>
      <c r="I477" s="8"/>
      <c r="J477" s="8"/>
      <c r="K477" s="8"/>
    </row>
    <row r="478" spans="5:11" x14ac:dyDescent="0.25">
      <c r="E478" s="5"/>
      <c r="F478" s="5"/>
      <c r="G478" s="8"/>
      <c r="H478" s="8"/>
      <c r="I478" s="8"/>
      <c r="J478" s="8"/>
      <c r="K478" s="8"/>
    </row>
    <row r="479" spans="5:11" x14ac:dyDescent="0.25">
      <c r="E479" s="5"/>
      <c r="F479" s="5"/>
      <c r="G479" s="8"/>
      <c r="H479" s="8"/>
      <c r="I479" s="8"/>
      <c r="J479" s="8"/>
      <c r="K479" s="8"/>
    </row>
    <row r="480" spans="5:11" x14ac:dyDescent="0.25">
      <c r="E480" s="5"/>
      <c r="F480" s="5"/>
      <c r="G480" s="8"/>
      <c r="H480" s="8"/>
      <c r="I480" s="8"/>
      <c r="J480" s="8"/>
      <c r="K480" s="8"/>
    </row>
    <row r="481" spans="5:11" x14ac:dyDescent="0.25">
      <c r="E481" s="5"/>
      <c r="F481" s="5"/>
      <c r="G481" s="8"/>
      <c r="H481" s="8"/>
      <c r="I481" s="8"/>
      <c r="J481" s="8"/>
      <c r="K481" s="8"/>
    </row>
    <row r="482" spans="5:11" x14ac:dyDescent="0.25">
      <c r="E482" s="5"/>
      <c r="F482" s="5"/>
      <c r="G482" s="8"/>
      <c r="H482" s="8"/>
      <c r="I482" s="8"/>
      <c r="J482" s="8"/>
      <c r="K482" s="8"/>
    </row>
    <row r="483" spans="5:11" x14ac:dyDescent="0.25">
      <c r="E483" s="5"/>
      <c r="F483" s="5"/>
      <c r="G483" s="8"/>
      <c r="H483" s="8"/>
      <c r="I483" s="8"/>
      <c r="J483" s="8"/>
      <c r="K483" s="8"/>
    </row>
    <row r="484" spans="5:11" x14ac:dyDescent="0.25">
      <c r="E484" s="5"/>
      <c r="F484" s="5"/>
      <c r="G484" s="8"/>
      <c r="H484" s="8"/>
      <c r="I484" s="8"/>
      <c r="J484" s="8"/>
      <c r="K484" s="8"/>
    </row>
    <row r="485" spans="5:11" x14ac:dyDescent="0.25">
      <c r="E485" s="5"/>
      <c r="F485" s="5"/>
      <c r="G485" s="8"/>
      <c r="H485" s="8"/>
      <c r="I485" s="8"/>
      <c r="J485" s="8"/>
      <c r="K485" s="8"/>
    </row>
    <row r="486" spans="5:11" x14ac:dyDescent="0.25">
      <c r="E486" s="5"/>
      <c r="F486" s="5"/>
      <c r="G486" s="8"/>
      <c r="H486" s="8"/>
      <c r="I486" s="8"/>
      <c r="J486" s="8"/>
      <c r="K486" s="8"/>
    </row>
    <row r="487" spans="5:11" x14ac:dyDescent="0.25">
      <c r="E487" s="5"/>
      <c r="F487" s="5"/>
      <c r="G487" s="8"/>
      <c r="H487" s="8"/>
      <c r="I487" s="8"/>
      <c r="J487" s="8"/>
      <c r="K487" s="8"/>
    </row>
    <row r="488" spans="5:11" x14ac:dyDescent="0.25">
      <c r="E488" s="5"/>
      <c r="F488" s="5"/>
      <c r="G488" s="8"/>
      <c r="H488" s="8"/>
      <c r="I488" s="8"/>
      <c r="J488" s="8"/>
      <c r="K488" s="8"/>
    </row>
    <row r="489" spans="5:11" x14ac:dyDescent="0.25">
      <c r="E489" s="5"/>
      <c r="F489" s="5"/>
      <c r="G489" s="8"/>
      <c r="H489" s="8"/>
      <c r="I489" s="8"/>
      <c r="J489" s="8"/>
      <c r="K489" s="8"/>
    </row>
    <row r="490" spans="5:11" x14ac:dyDescent="0.25">
      <c r="E490" s="5"/>
      <c r="F490" s="5"/>
      <c r="G490" s="8"/>
      <c r="H490" s="8"/>
      <c r="I490" s="8"/>
      <c r="J490" s="8"/>
      <c r="K490" s="8"/>
    </row>
    <row r="491" spans="5:11" x14ac:dyDescent="0.25">
      <c r="E491" s="5"/>
      <c r="F491" s="5"/>
      <c r="G491" s="8"/>
      <c r="H491" s="8"/>
      <c r="I491" s="8"/>
      <c r="J491" s="8"/>
      <c r="K491" s="8"/>
    </row>
    <row r="492" spans="5:11" x14ac:dyDescent="0.25">
      <c r="E492" s="5"/>
      <c r="F492" s="5"/>
      <c r="G492" s="8"/>
      <c r="H492" s="8"/>
      <c r="I492" s="8"/>
      <c r="J492" s="8"/>
      <c r="K492" s="8"/>
    </row>
    <row r="493" spans="5:11" x14ac:dyDescent="0.25">
      <c r="E493" s="5"/>
      <c r="F493" s="5"/>
      <c r="G493" s="8"/>
      <c r="H493" s="8"/>
      <c r="I493" s="8"/>
      <c r="J493" s="8"/>
      <c r="K493" s="8"/>
    </row>
    <row r="494" spans="5:11" x14ac:dyDescent="0.25">
      <c r="E494" s="5"/>
      <c r="F494" s="5"/>
      <c r="G494" s="8"/>
      <c r="H494" s="8"/>
      <c r="I494" s="8"/>
      <c r="J494" s="8"/>
      <c r="K494" s="8"/>
    </row>
    <row r="495" spans="5:11" x14ac:dyDescent="0.25">
      <c r="E495" s="5"/>
      <c r="F495" s="5"/>
      <c r="G495" s="8"/>
      <c r="H495" s="8"/>
      <c r="I495" s="8"/>
      <c r="J495" s="8"/>
      <c r="K495" s="8"/>
    </row>
    <row r="496" spans="5:11" x14ac:dyDescent="0.25">
      <c r="E496" s="5"/>
      <c r="F496" s="5"/>
      <c r="G496" s="8"/>
      <c r="H496" s="8"/>
      <c r="I496" s="8"/>
      <c r="J496" s="8"/>
      <c r="K496" s="8"/>
    </row>
    <row r="497" spans="5:11" x14ac:dyDescent="0.25">
      <c r="E497" s="5"/>
      <c r="F497" s="5"/>
      <c r="G497" s="8"/>
      <c r="H497" s="8"/>
      <c r="I497" s="8"/>
      <c r="J497" s="8"/>
      <c r="K497" s="8"/>
    </row>
    <row r="498" spans="5:11" x14ac:dyDescent="0.25">
      <c r="E498" s="5"/>
      <c r="F498" s="5"/>
      <c r="G498" s="8"/>
      <c r="H498" s="8"/>
      <c r="I498" s="8"/>
      <c r="J498" s="8"/>
      <c r="K498" s="8"/>
    </row>
    <row r="499" spans="5:11" x14ac:dyDescent="0.25">
      <c r="E499" s="5"/>
      <c r="F499" s="5"/>
      <c r="G499" s="8"/>
      <c r="H499" s="8"/>
      <c r="I499" s="8"/>
      <c r="J499" s="8"/>
      <c r="K499" s="8"/>
    </row>
    <row r="500" spans="5:11" x14ac:dyDescent="0.25">
      <c r="E500" s="5"/>
      <c r="F500" s="5"/>
      <c r="G500" s="8"/>
      <c r="H500" s="8"/>
      <c r="I500" s="8"/>
      <c r="J500" s="8"/>
      <c r="K500" s="8"/>
    </row>
    <row r="501" spans="5:11" x14ac:dyDescent="0.25">
      <c r="E501" s="5"/>
      <c r="F501" s="5"/>
      <c r="G501" s="8"/>
      <c r="H501" s="8"/>
      <c r="I501" s="8"/>
      <c r="J501" s="8"/>
      <c r="K501" s="8"/>
    </row>
    <row r="502" spans="5:11" x14ac:dyDescent="0.25">
      <c r="E502" s="5"/>
      <c r="F502" s="5"/>
      <c r="G502" s="8"/>
      <c r="H502" s="8"/>
      <c r="I502" s="8"/>
      <c r="J502" s="8"/>
      <c r="K502" s="8"/>
    </row>
    <row r="503" spans="5:11" x14ac:dyDescent="0.25">
      <c r="E503" s="5"/>
      <c r="F503" s="5"/>
      <c r="G503" s="8"/>
      <c r="H503" s="8"/>
      <c r="I503" s="8"/>
      <c r="J503" s="8"/>
      <c r="K503" s="8"/>
    </row>
    <row r="504" spans="5:11" x14ac:dyDescent="0.25">
      <c r="E504" s="5"/>
      <c r="F504" s="5"/>
      <c r="G504" s="8"/>
      <c r="H504" s="8"/>
      <c r="I504" s="8"/>
      <c r="J504" s="8"/>
      <c r="K504" s="8"/>
    </row>
    <row r="505" spans="5:11" x14ac:dyDescent="0.25">
      <c r="E505" s="5"/>
      <c r="F505" s="5"/>
      <c r="G505" s="8"/>
      <c r="H505" s="8"/>
      <c r="I505" s="8"/>
      <c r="J505" s="8"/>
      <c r="K505" s="8"/>
    </row>
    <row r="506" spans="5:11" x14ac:dyDescent="0.25">
      <c r="E506" s="5"/>
      <c r="F506" s="5"/>
      <c r="G506" s="8"/>
      <c r="H506" s="8"/>
      <c r="I506" s="8"/>
      <c r="J506" s="8"/>
      <c r="K506" s="8"/>
    </row>
    <row r="507" spans="5:11" x14ac:dyDescent="0.25">
      <c r="E507" s="5"/>
      <c r="F507" s="5"/>
      <c r="G507" s="8"/>
      <c r="H507" s="8"/>
      <c r="I507" s="8"/>
      <c r="J507" s="8"/>
      <c r="K507" s="8"/>
    </row>
    <row r="508" spans="5:11" x14ac:dyDescent="0.25">
      <c r="E508" s="5"/>
      <c r="F508" s="5"/>
      <c r="G508" s="8"/>
      <c r="H508" s="8"/>
      <c r="I508" s="8"/>
      <c r="J508" s="8"/>
      <c r="K508" s="8"/>
    </row>
    <row r="509" spans="5:11" x14ac:dyDescent="0.25">
      <c r="E509" s="5"/>
      <c r="F509" s="5"/>
      <c r="G509" s="8"/>
      <c r="H509" s="8"/>
      <c r="I509" s="8"/>
      <c r="J509" s="8"/>
      <c r="K509" s="8"/>
    </row>
    <row r="510" spans="5:11" x14ac:dyDescent="0.25">
      <c r="E510" s="5"/>
      <c r="F510" s="5"/>
      <c r="G510" s="8"/>
      <c r="H510" s="8"/>
      <c r="I510" s="8"/>
      <c r="J510" s="8"/>
      <c r="K510" s="8"/>
    </row>
    <row r="511" spans="5:11" x14ac:dyDescent="0.25">
      <c r="E511" s="5"/>
      <c r="F511" s="5"/>
      <c r="G511" s="8"/>
      <c r="H511" s="8"/>
      <c r="I511" s="8"/>
      <c r="J511" s="8"/>
      <c r="K511" s="8"/>
    </row>
    <row r="512" spans="5:11" x14ac:dyDescent="0.25">
      <c r="E512" s="5"/>
      <c r="F512" s="5"/>
      <c r="G512" s="8"/>
      <c r="H512" s="8"/>
      <c r="I512" s="8"/>
      <c r="J512" s="8"/>
      <c r="K512" s="8"/>
    </row>
    <row r="513" spans="5:11" x14ac:dyDescent="0.25">
      <c r="E513" s="5"/>
      <c r="F513" s="5"/>
      <c r="G513" s="8"/>
      <c r="H513" s="8"/>
      <c r="I513" s="8"/>
      <c r="J513" s="8"/>
      <c r="K513" s="8"/>
    </row>
    <row r="514" spans="5:11" x14ac:dyDescent="0.25">
      <c r="E514" s="5"/>
      <c r="F514" s="5"/>
      <c r="G514" s="8"/>
      <c r="H514" s="8"/>
      <c r="I514" s="8"/>
      <c r="J514" s="8"/>
      <c r="K514" s="8"/>
    </row>
    <row r="515" spans="5:11" x14ac:dyDescent="0.25">
      <c r="E515" s="5"/>
      <c r="F515" s="5"/>
      <c r="G515" s="8"/>
      <c r="H515" s="8"/>
      <c r="I515" s="8"/>
      <c r="J515" s="8"/>
      <c r="K515" s="8"/>
    </row>
    <row r="516" spans="5:11" x14ac:dyDescent="0.25">
      <c r="E516" s="5"/>
      <c r="F516" s="5"/>
      <c r="G516" s="8"/>
      <c r="H516" s="8"/>
      <c r="I516" s="8"/>
      <c r="J516" s="8"/>
      <c r="K516" s="8"/>
    </row>
    <row r="517" spans="5:11" x14ac:dyDescent="0.25">
      <c r="E517" s="5"/>
      <c r="F517" s="5"/>
      <c r="G517" s="8"/>
      <c r="H517" s="8"/>
      <c r="I517" s="8"/>
      <c r="J517" s="8"/>
      <c r="K517" s="8"/>
    </row>
    <row r="518" spans="5:11" x14ac:dyDescent="0.25">
      <c r="E518" s="5"/>
      <c r="F518" s="5"/>
      <c r="G518" s="8"/>
      <c r="H518" s="8"/>
      <c r="I518" s="8"/>
      <c r="J518" s="8"/>
      <c r="K518" s="8"/>
    </row>
    <row r="519" spans="5:11" x14ac:dyDescent="0.25">
      <c r="E519" s="5"/>
      <c r="F519" s="5"/>
      <c r="G519" s="8"/>
      <c r="H519" s="8"/>
      <c r="I519" s="8"/>
      <c r="J519" s="8"/>
      <c r="K519" s="8"/>
    </row>
    <row r="520" spans="5:11" x14ac:dyDescent="0.25">
      <c r="E520" s="5"/>
      <c r="F520" s="5"/>
      <c r="G520" s="8"/>
      <c r="H520" s="8"/>
      <c r="I520" s="8"/>
      <c r="J520" s="8"/>
      <c r="K520" s="8"/>
    </row>
    <row r="521" spans="5:11" x14ac:dyDescent="0.25">
      <c r="E521" s="5"/>
      <c r="F521" s="5"/>
      <c r="G521" s="8"/>
      <c r="H521" s="8"/>
      <c r="I521" s="8"/>
      <c r="J521" s="8"/>
      <c r="K521" s="8"/>
    </row>
    <row r="522" spans="5:11" x14ac:dyDescent="0.25">
      <c r="E522" s="5"/>
      <c r="F522" s="5"/>
      <c r="G522" s="8"/>
      <c r="H522" s="8"/>
      <c r="I522" s="8"/>
      <c r="J522" s="8"/>
      <c r="K522" s="8"/>
    </row>
    <row r="523" spans="5:11" x14ac:dyDescent="0.25">
      <c r="E523" s="5"/>
      <c r="F523" s="5"/>
      <c r="G523" s="8"/>
      <c r="H523" s="8"/>
      <c r="I523" s="8"/>
      <c r="J523" s="8"/>
      <c r="K523" s="8"/>
    </row>
    <row r="524" spans="5:11" x14ac:dyDescent="0.25">
      <c r="E524" s="5"/>
      <c r="F524" s="5"/>
      <c r="G524" s="8"/>
      <c r="H524" s="8"/>
      <c r="I524" s="8"/>
      <c r="J524" s="8"/>
      <c r="K524" s="8"/>
    </row>
    <row r="525" spans="5:11" x14ac:dyDescent="0.25">
      <c r="E525" s="5"/>
      <c r="F525" s="5"/>
      <c r="G525" s="8"/>
      <c r="H525" s="8"/>
      <c r="I525" s="8"/>
      <c r="J525" s="8"/>
      <c r="K525" s="8"/>
    </row>
    <row r="526" spans="5:11" x14ac:dyDescent="0.25">
      <c r="E526" s="5"/>
      <c r="F526" s="5"/>
      <c r="G526" s="8"/>
      <c r="H526" s="8"/>
      <c r="I526" s="8"/>
      <c r="J526" s="8"/>
      <c r="K526" s="8"/>
    </row>
    <row r="527" spans="5:11" x14ac:dyDescent="0.25">
      <c r="E527" s="5"/>
      <c r="F527" s="5"/>
      <c r="G527" s="8"/>
      <c r="H527" s="8"/>
      <c r="I527" s="8"/>
      <c r="J527" s="8"/>
      <c r="K527" s="8"/>
    </row>
    <row r="528" spans="5:11" x14ac:dyDescent="0.25">
      <c r="E528" s="5"/>
      <c r="F528" s="5"/>
      <c r="G528" s="8"/>
      <c r="H528" s="8"/>
      <c r="I528" s="8"/>
      <c r="J528" s="8"/>
      <c r="K528" s="8"/>
    </row>
    <row r="529" spans="5:11" x14ac:dyDescent="0.25">
      <c r="E529" s="5"/>
      <c r="F529" s="5"/>
      <c r="G529" s="8"/>
      <c r="H529" s="8"/>
      <c r="I529" s="8"/>
      <c r="J529" s="8"/>
      <c r="K529" s="8"/>
    </row>
    <row r="530" spans="5:11" x14ac:dyDescent="0.25">
      <c r="E530" s="5"/>
      <c r="F530" s="5"/>
      <c r="G530" s="8"/>
      <c r="H530" s="8"/>
      <c r="I530" s="8"/>
      <c r="J530" s="8"/>
      <c r="K530" s="8"/>
    </row>
    <row r="531" spans="5:11" x14ac:dyDescent="0.25">
      <c r="E531" s="5"/>
      <c r="F531" s="5"/>
      <c r="G531" s="8"/>
      <c r="H531" s="8"/>
      <c r="I531" s="8"/>
      <c r="J531" s="8"/>
      <c r="K531" s="8"/>
    </row>
    <row r="532" spans="5:11" x14ac:dyDescent="0.25">
      <c r="E532" s="5"/>
      <c r="F532" s="5"/>
      <c r="G532" s="8"/>
      <c r="H532" s="8"/>
      <c r="I532" s="8"/>
      <c r="J532" s="8"/>
      <c r="K532" s="8"/>
    </row>
    <row r="533" spans="5:11" x14ac:dyDescent="0.25">
      <c r="E533" s="5"/>
      <c r="F533" s="5"/>
      <c r="G533" s="8"/>
      <c r="H533" s="8"/>
      <c r="I533" s="8"/>
      <c r="J533" s="8"/>
      <c r="K533" s="8"/>
    </row>
    <row r="534" spans="5:11" x14ac:dyDescent="0.25">
      <c r="E534" s="5"/>
      <c r="F534" s="5"/>
      <c r="G534" s="8"/>
      <c r="H534" s="8"/>
      <c r="I534" s="8"/>
      <c r="J534" s="8"/>
      <c r="K534" s="8"/>
    </row>
    <row r="535" spans="5:11" x14ac:dyDescent="0.25">
      <c r="E535" s="5"/>
      <c r="F535" s="5"/>
      <c r="G535" s="8"/>
      <c r="H535" s="8"/>
      <c r="I535" s="8"/>
      <c r="J535" s="8"/>
      <c r="K535" s="8"/>
    </row>
    <row r="536" spans="5:11" x14ac:dyDescent="0.25">
      <c r="E536" s="5"/>
      <c r="F536" s="5"/>
      <c r="G536" s="8"/>
      <c r="H536" s="8"/>
      <c r="I536" s="8"/>
      <c r="J536" s="8"/>
      <c r="K536" s="8"/>
    </row>
    <row r="537" spans="5:11" x14ac:dyDescent="0.25">
      <c r="E537" s="5"/>
      <c r="F537" s="5"/>
      <c r="G537" s="8"/>
      <c r="H537" s="8"/>
      <c r="I537" s="8"/>
      <c r="J537" s="8"/>
      <c r="K537" s="8"/>
    </row>
    <row r="538" spans="5:11" x14ac:dyDescent="0.25">
      <c r="E538" s="5"/>
      <c r="F538" s="5"/>
      <c r="G538" s="8"/>
      <c r="H538" s="8"/>
      <c r="I538" s="8"/>
      <c r="J538" s="8"/>
      <c r="K538" s="8"/>
    </row>
    <row r="539" spans="5:11" x14ac:dyDescent="0.25">
      <c r="E539" s="5"/>
      <c r="F539" s="5"/>
      <c r="G539" s="8"/>
      <c r="H539" s="8"/>
      <c r="I539" s="8"/>
      <c r="J539" s="8"/>
      <c r="K539" s="8"/>
    </row>
    <row r="540" spans="5:11" x14ac:dyDescent="0.25">
      <c r="E540" s="5"/>
      <c r="F540" s="5"/>
      <c r="G540" s="8"/>
      <c r="H540" s="8"/>
      <c r="I540" s="8"/>
      <c r="J540" s="8"/>
      <c r="K540" s="8"/>
    </row>
    <row r="541" spans="5:11" x14ac:dyDescent="0.25">
      <c r="E541" s="5"/>
      <c r="F541" s="5"/>
      <c r="G541" s="8"/>
      <c r="H541" s="8"/>
      <c r="I541" s="8"/>
      <c r="J541" s="8"/>
      <c r="K541" s="8"/>
    </row>
    <row r="542" spans="5:11" x14ac:dyDescent="0.25">
      <c r="E542" s="5"/>
      <c r="F542" s="5"/>
      <c r="G542" s="8"/>
      <c r="H542" s="8"/>
      <c r="I542" s="8"/>
      <c r="J542" s="8"/>
      <c r="K542" s="8"/>
    </row>
    <row r="543" spans="5:11" x14ac:dyDescent="0.25">
      <c r="E543" s="5"/>
      <c r="F543" s="5"/>
      <c r="G543" s="8"/>
      <c r="H543" s="8"/>
      <c r="I543" s="8"/>
      <c r="J543" s="8"/>
      <c r="K543" s="8"/>
    </row>
    <row r="544" spans="5:11" x14ac:dyDescent="0.25">
      <c r="E544" s="5"/>
      <c r="F544" s="5"/>
      <c r="G544" s="8"/>
      <c r="H544" s="8"/>
      <c r="I544" s="8"/>
      <c r="J544" s="8"/>
      <c r="K544" s="8"/>
    </row>
    <row r="545" spans="5:11" x14ac:dyDescent="0.25">
      <c r="E545" s="5"/>
      <c r="F545" s="5"/>
      <c r="G545" s="8"/>
      <c r="H545" s="8"/>
      <c r="I545" s="8"/>
      <c r="J545" s="8"/>
      <c r="K545" s="8"/>
    </row>
    <row r="546" spans="5:11" x14ac:dyDescent="0.25">
      <c r="E546" s="5"/>
      <c r="F546" s="5"/>
      <c r="G546" s="8"/>
      <c r="H546" s="8"/>
      <c r="I546" s="8"/>
      <c r="J546" s="8"/>
      <c r="K546" s="8"/>
    </row>
    <row r="547" spans="5:11" x14ac:dyDescent="0.25">
      <c r="E547" s="5"/>
      <c r="F547" s="5"/>
      <c r="G547" s="8"/>
      <c r="H547" s="8"/>
      <c r="I547" s="8"/>
      <c r="J547" s="8"/>
      <c r="K547" s="8"/>
    </row>
    <row r="548" spans="5:11" x14ac:dyDescent="0.25">
      <c r="E548" s="5"/>
      <c r="F548" s="5"/>
      <c r="G548" s="8"/>
      <c r="H548" s="8"/>
      <c r="I548" s="8"/>
      <c r="J548" s="8"/>
      <c r="K548" s="8"/>
    </row>
    <row r="549" spans="5:11" x14ac:dyDescent="0.25">
      <c r="E549" s="5"/>
      <c r="F549" s="5"/>
      <c r="G549" s="8"/>
      <c r="H549" s="8"/>
      <c r="I549" s="8"/>
      <c r="J549" s="8"/>
      <c r="K549" s="8"/>
    </row>
    <row r="550" spans="5:11" x14ac:dyDescent="0.25">
      <c r="E550" s="5"/>
      <c r="F550" s="5"/>
      <c r="G550" s="8"/>
      <c r="H550" s="8"/>
      <c r="I550" s="8"/>
      <c r="J550" s="8"/>
      <c r="K550" s="8"/>
    </row>
    <row r="551" spans="5:11" x14ac:dyDescent="0.25">
      <c r="E551" s="5"/>
      <c r="F551" s="5"/>
      <c r="G551" s="8"/>
      <c r="H551" s="8"/>
      <c r="I551" s="8"/>
      <c r="J551" s="8"/>
      <c r="K551" s="8"/>
    </row>
    <row r="552" spans="5:11" x14ac:dyDescent="0.25">
      <c r="E552" s="5"/>
      <c r="F552" s="5"/>
      <c r="G552" s="8"/>
      <c r="H552" s="8"/>
      <c r="I552" s="8"/>
      <c r="J552" s="8"/>
      <c r="K552" s="8"/>
    </row>
    <row r="553" spans="5:11" x14ac:dyDescent="0.25">
      <c r="E553" s="5"/>
      <c r="F553" s="5"/>
      <c r="G553" s="8"/>
      <c r="H553" s="8"/>
      <c r="I553" s="8"/>
      <c r="J553" s="8"/>
      <c r="K553" s="8"/>
    </row>
    <row r="554" spans="5:11" x14ac:dyDescent="0.25">
      <c r="E554" s="5"/>
      <c r="F554" s="5"/>
      <c r="G554" s="8"/>
      <c r="H554" s="8"/>
      <c r="I554" s="8"/>
      <c r="J554" s="8"/>
      <c r="K554" s="8"/>
    </row>
    <row r="555" spans="5:11" x14ac:dyDescent="0.25">
      <c r="E555" s="5"/>
      <c r="F555" s="5"/>
      <c r="G555" s="8"/>
      <c r="H555" s="8"/>
      <c r="I555" s="8"/>
      <c r="J555" s="8"/>
      <c r="K555" s="8"/>
    </row>
    <row r="556" spans="5:11" x14ac:dyDescent="0.25">
      <c r="E556" s="5"/>
      <c r="F556" s="5"/>
      <c r="G556" s="8"/>
      <c r="H556" s="8"/>
      <c r="I556" s="8"/>
      <c r="J556" s="8"/>
      <c r="K556" s="8"/>
    </row>
    <row r="557" spans="5:11" x14ac:dyDescent="0.25">
      <c r="E557" s="5"/>
      <c r="F557" s="5"/>
      <c r="G557" s="8"/>
      <c r="H557" s="8"/>
      <c r="I557" s="8"/>
      <c r="J557" s="8"/>
      <c r="K557" s="8"/>
    </row>
    <row r="558" spans="5:11" x14ac:dyDescent="0.25">
      <c r="E558" s="5"/>
      <c r="F558" s="5"/>
      <c r="G558" s="8"/>
      <c r="H558" s="8"/>
      <c r="I558" s="8"/>
      <c r="J558" s="8"/>
      <c r="K558" s="8"/>
    </row>
    <row r="559" spans="5:11" x14ac:dyDescent="0.25">
      <c r="E559" s="5"/>
      <c r="F559" s="5"/>
      <c r="G559" s="8"/>
      <c r="H559" s="8"/>
      <c r="I559" s="8"/>
      <c r="J559" s="8"/>
      <c r="K559" s="8"/>
    </row>
    <row r="560" spans="5:11" x14ac:dyDescent="0.25">
      <c r="E560" s="5"/>
      <c r="F560" s="5"/>
      <c r="G560" s="8"/>
      <c r="H560" s="8"/>
      <c r="I560" s="8"/>
      <c r="J560" s="8"/>
      <c r="K560" s="8"/>
    </row>
    <row r="561" spans="5:11" x14ac:dyDescent="0.25">
      <c r="E561" s="5"/>
      <c r="F561" s="5"/>
      <c r="G561" s="8"/>
      <c r="H561" s="8"/>
      <c r="I561" s="8"/>
      <c r="J561" s="8"/>
      <c r="K561" s="8"/>
    </row>
    <row r="562" spans="5:11" x14ac:dyDescent="0.25">
      <c r="E562" s="5"/>
      <c r="F562" s="5"/>
      <c r="G562" s="8"/>
      <c r="H562" s="8"/>
      <c r="I562" s="8"/>
      <c r="J562" s="8"/>
      <c r="K562" s="8"/>
    </row>
    <row r="563" spans="5:11" x14ac:dyDescent="0.25">
      <c r="E563" s="5"/>
      <c r="F563" s="5"/>
      <c r="G563" s="8"/>
      <c r="H563" s="8"/>
      <c r="I563" s="8"/>
      <c r="J563" s="8"/>
      <c r="K563" s="8"/>
    </row>
    <row r="564" spans="5:11" x14ac:dyDescent="0.25">
      <c r="E564" s="5"/>
      <c r="F564" s="5"/>
      <c r="G564" s="8"/>
      <c r="H564" s="8"/>
      <c r="I564" s="8"/>
      <c r="J564" s="8"/>
      <c r="K564" s="8"/>
    </row>
    <row r="565" spans="5:11" x14ac:dyDescent="0.25">
      <c r="E565" s="5"/>
      <c r="F565" s="5"/>
      <c r="G565" s="8"/>
      <c r="H565" s="8"/>
      <c r="I565" s="8"/>
      <c r="J565" s="8"/>
      <c r="K565" s="8"/>
    </row>
    <row r="566" spans="5:11" x14ac:dyDescent="0.25">
      <c r="E566" s="5"/>
      <c r="F566" s="5"/>
      <c r="G566" s="8"/>
      <c r="H566" s="8"/>
      <c r="I566" s="8"/>
      <c r="J566" s="8"/>
      <c r="K566" s="8"/>
    </row>
    <row r="567" spans="5:11" x14ac:dyDescent="0.25">
      <c r="E567" s="5"/>
      <c r="F567" s="5"/>
      <c r="G567" s="8"/>
      <c r="H567" s="8"/>
      <c r="I567" s="8"/>
      <c r="J567" s="8"/>
      <c r="K567" s="8"/>
    </row>
    <row r="568" spans="5:11" x14ac:dyDescent="0.25">
      <c r="E568" s="5"/>
      <c r="F568" s="5"/>
      <c r="G568" s="8"/>
      <c r="H568" s="8"/>
      <c r="I568" s="8"/>
      <c r="J568" s="8"/>
      <c r="K568" s="8"/>
    </row>
    <row r="569" spans="5:11" x14ac:dyDescent="0.25">
      <c r="E569" s="5"/>
      <c r="F569" s="5"/>
      <c r="G569" s="8"/>
      <c r="H569" s="8"/>
      <c r="I569" s="8"/>
      <c r="J569" s="8"/>
      <c r="K569" s="8"/>
    </row>
    <row r="570" spans="5:11" x14ac:dyDescent="0.25">
      <c r="E570" s="5"/>
      <c r="F570" s="5"/>
      <c r="G570" s="8"/>
      <c r="H570" s="8"/>
      <c r="I570" s="8"/>
      <c r="J570" s="8"/>
      <c r="K570" s="8"/>
    </row>
    <row r="571" spans="5:11" x14ac:dyDescent="0.25">
      <c r="E571" s="5"/>
      <c r="F571" s="5"/>
      <c r="G571" s="8"/>
      <c r="H571" s="8"/>
      <c r="I571" s="8"/>
      <c r="J571" s="8"/>
      <c r="K571" s="8"/>
    </row>
    <row r="572" spans="5:11" x14ac:dyDescent="0.25">
      <c r="E572" s="5"/>
      <c r="F572" s="5"/>
      <c r="G572" s="8"/>
      <c r="H572" s="8"/>
      <c r="I572" s="8"/>
      <c r="J572" s="8"/>
      <c r="K572" s="8"/>
    </row>
    <row r="573" spans="5:11" x14ac:dyDescent="0.25">
      <c r="E573" s="5"/>
      <c r="F573" s="5"/>
      <c r="G573" s="8"/>
      <c r="H573" s="8"/>
      <c r="I573" s="8"/>
      <c r="J573" s="8"/>
      <c r="K573" s="8"/>
    </row>
    <row r="574" spans="5:11" x14ac:dyDescent="0.25">
      <c r="E574" s="5"/>
      <c r="F574" s="5"/>
      <c r="G574" s="8"/>
      <c r="H574" s="8"/>
      <c r="I574" s="8"/>
      <c r="J574" s="8"/>
      <c r="K574" s="8"/>
    </row>
    <row r="575" spans="5:11" x14ac:dyDescent="0.25">
      <c r="E575" s="5"/>
      <c r="F575" s="5"/>
      <c r="G575" s="8"/>
      <c r="H575" s="8"/>
      <c r="I575" s="8"/>
      <c r="J575" s="8"/>
      <c r="K575" s="8"/>
    </row>
  </sheetData>
  <autoFilter ref="A2:L53"/>
  <sortState ref="O3:P21">
    <sortCondition descending="1" ref="P3:P21"/>
  </sortState>
  <mergeCells count="2">
    <mergeCell ref="N45:P45"/>
    <mergeCell ref="B1:D1"/>
  </mergeCells>
  <conditionalFormatting sqref="E4:F5">
    <cfRule type="containsText" dxfId="57" priority="186" operator="containsText" text="Vencida">
      <formula>NOT(ISERROR(SEARCH("Vencida",E4)))</formula>
    </cfRule>
    <cfRule type="containsText" dxfId="56" priority="187" operator="containsText" text="Pagada">
      <formula>NOT(ISERROR(SEARCH("Pagada",E4)))</formula>
    </cfRule>
    <cfRule type="containsText" dxfId="55" priority="188" operator="containsText" text="Pendiente">
      <formula>NOT(ISERROR(SEARCH("Pendiente",E4)))</formula>
    </cfRule>
    <cfRule type="cellIs" dxfId="54" priority="189" operator="equal">
      <formula>"Parcial"</formula>
    </cfRule>
    <cfRule type="containsText" dxfId="53" priority="190" operator="containsText" text="Facturado">
      <formula>NOT(ISERROR(SEARCH("Facturado",E4)))</formula>
    </cfRule>
  </conditionalFormatting>
  <conditionalFormatting sqref="E61">
    <cfRule type="containsText" dxfId="52" priority="51" operator="containsText" text="Vencida">
      <formula>NOT(ISERROR(SEARCH("Vencida",E61)))</formula>
    </cfRule>
    <cfRule type="containsText" dxfId="51" priority="52" operator="containsText" text="Pagada">
      <formula>NOT(ISERROR(SEARCH("Pagada",E61)))</formula>
    </cfRule>
    <cfRule type="containsText" dxfId="50" priority="53" operator="containsText" text="Pendiente">
      <formula>NOT(ISERROR(SEARCH("Pendiente",E61)))</formula>
    </cfRule>
    <cfRule type="cellIs" dxfId="49" priority="54" operator="equal">
      <formula>"Parcial"</formula>
    </cfRule>
    <cfRule type="containsText" dxfId="48" priority="55" operator="containsText" text="Facturado">
      <formula>NOT(ISERROR(SEARCH("Facturado",E61)))</formula>
    </cfRule>
  </conditionalFormatting>
  <conditionalFormatting sqref="F61">
    <cfRule type="containsText" dxfId="47" priority="46" operator="containsText" text="Vencida">
      <formula>NOT(ISERROR(SEARCH("Vencida",F61)))</formula>
    </cfRule>
    <cfRule type="containsText" dxfId="46" priority="47" operator="containsText" text="Pagada">
      <formula>NOT(ISERROR(SEARCH("Pagada",F61)))</formula>
    </cfRule>
    <cfRule type="containsText" dxfId="45" priority="48" operator="containsText" text="Pendiente">
      <formula>NOT(ISERROR(SEARCH("Pendiente",F61)))</formula>
    </cfRule>
    <cfRule type="cellIs" dxfId="44" priority="49" operator="equal">
      <formula>"Parcial"</formula>
    </cfRule>
    <cfRule type="containsText" dxfId="43" priority="50" operator="containsText" text="Facturado">
      <formula>NOT(ISERROR(SEARCH("Facturado",F61)))</formula>
    </cfRule>
  </conditionalFormatting>
  <conditionalFormatting sqref="E62:F64">
    <cfRule type="containsText" dxfId="42" priority="41" operator="containsText" text="Vencida">
      <formula>NOT(ISERROR(SEARCH("Vencida",E62)))</formula>
    </cfRule>
    <cfRule type="containsText" dxfId="41" priority="42" operator="containsText" text="Pagada">
      <formula>NOT(ISERROR(SEARCH("Pagada",E62)))</formula>
    </cfRule>
    <cfRule type="containsText" dxfId="40" priority="43" operator="containsText" text="Pendiente">
      <formula>NOT(ISERROR(SEARCH("Pendiente",E62)))</formula>
    </cfRule>
    <cfRule type="cellIs" dxfId="39" priority="44" operator="equal">
      <formula>"Parcial"</formula>
    </cfRule>
    <cfRule type="containsText" dxfId="38" priority="45" operator="containsText" text="Facturado">
      <formula>NOT(ISERROR(SEARCH("Facturado",E62)))</formula>
    </cfRule>
  </conditionalFormatting>
  <conditionalFormatting sqref="E6:F23 E25:F60">
    <cfRule type="containsText" dxfId="37" priority="11" operator="containsText" text="Vencida">
      <formula>NOT(ISERROR(SEARCH("Vencida",E6)))</formula>
    </cfRule>
    <cfRule type="containsText" dxfId="36" priority="12" operator="containsText" text="Pagada">
      <formula>NOT(ISERROR(SEARCH("Pagada",E6)))</formula>
    </cfRule>
    <cfRule type="containsText" dxfId="35" priority="13" operator="containsText" text="Pendiente">
      <formula>NOT(ISERROR(SEARCH("Pendiente",E6)))</formula>
    </cfRule>
    <cfRule type="cellIs" dxfId="34" priority="14" operator="equal">
      <formula>"Parcial"</formula>
    </cfRule>
    <cfRule type="containsText" dxfId="33" priority="15" operator="containsText" text="Facturado">
      <formula>NOT(ISERROR(SEARCH("Facturado",E6)))</formula>
    </cfRule>
  </conditionalFormatting>
  <conditionalFormatting sqref="E3">
    <cfRule type="containsText" dxfId="32" priority="6" operator="containsText" text="Vencida">
      <formula>NOT(ISERROR(SEARCH("Vencida",E3)))</formula>
    </cfRule>
    <cfRule type="containsText" dxfId="31" priority="7" operator="containsText" text="Pagada">
      <formula>NOT(ISERROR(SEARCH("Pagada",E3)))</formula>
    </cfRule>
    <cfRule type="containsText" dxfId="30" priority="8" operator="containsText" text="Pendiente">
      <formula>NOT(ISERROR(SEARCH("Pendiente",E3)))</formula>
    </cfRule>
    <cfRule type="cellIs" dxfId="29" priority="9" operator="equal">
      <formula>"Parcial"</formula>
    </cfRule>
    <cfRule type="containsText" dxfId="28" priority="10" operator="containsText" text="Facturado">
      <formula>NOT(ISERROR(SEARCH("Facturado",E3)))</formula>
    </cfRule>
  </conditionalFormatting>
  <conditionalFormatting sqref="F3">
    <cfRule type="containsText" dxfId="27" priority="1" operator="containsText" text="Vencida">
      <formula>NOT(ISERROR(SEARCH("Vencida",F3)))</formula>
    </cfRule>
    <cfRule type="containsText" dxfId="26" priority="2" operator="containsText" text="Pagada">
      <formula>NOT(ISERROR(SEARCH("Pagada",F3)))</formula>
    </cfRule>
    <cfRule type="containsText" dxfId="25" priority="3" operator="containsText" text="Pendiente">
      <formula>NOT(ISERROR(SEARCH("Pendiente",F3)))</formula>
    </cfRule>
    <cfRule type="cellIs" dxfId="24" priority="4" operator="equal">
      <formula>"Parcial"</formula>
    </cfRule>
    <cfRule type="containsText" dxfId="23" priority="5" operator="containsText" text="Facturado">
      <formula>NOT(ISERROR(SEARCH("Facturado",F3)))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tabSelected="1" zoomScaleNormal="100" workbookViewId="0">
      <pane ySplit="2" topLeftCell="A3" activePane="bottomLeft" state="frozen"/>
      <selection activeCell="D1" sqref="D1"/>
      <selection pane="bottomLeft" activeCell="G15" sqref="G3:G15"/>
    </sheetView>
  </sheetViews>
  <sheetFormatPr baseColWidth="10" defaultRowHeight="15" x14ac:dyDescent="0.25"/>
  <cols>
    <col min="1" max="1" width="19.5703125" customWidth="1"/>
    <col min="2" max="2" width="10.42578125" customWidth="1"/>
    <col min="3" max="3" width="12.7109375" customWidth="1"/>
    <col min="4" max="4" width="43" customWidth="1"/>
    <col min="5" max="5" width="10.5703125" customWidth="1"/>
    <col min="6" max="6" width="10.140625" customWidth="1"/>
    <col min="7" max="7" width="10.7109375" customWidth="1"/>
    <col min="8" max="8" width="12.7109375" bestFit="1" customWidth="1"/>
    <col min="11" max="11" width="9.28515625" customWidth="1"/>
    <col min="12" max="12" width="15.7109375" customWidth="1"/>
    <col min="13" max="13" width="15.28515625" customWidth="1"/>
    <col min="14" max="14" width="16.28515625" customWidth="1"/>
    <col min="15" max="15" width="17.85546875" customWidth="1"/>
  </cols>
  <sheetData>
    <row r="1" spans="1:17" ht="19.5" thickBot="1" x14ac:dyDescent="0.35">
      <c r="A1" s="154" t="s">
        <v>129</v>
      </c>
      <c r="B1" s="154"/>
      <c r="C1" s="154"/>
      <c r="D1" s="154"/>
      <c r="E1" s="31"/>
      <c r="F1" s="31"/>
      <c r="G1" s="31"/>
      <c r="H1" s="19"/>
      <c r="I1" s="19"/>
      <c r="J1" s="19"/>
      <c r="K1" s="19"/>
      <c r="L1" s="30"/>
    </row>
    <row r="2" spans="1:17" ht="40.5" customHeight="1" thickBot="1" x14ac:dyDescent="0.3">
      <c r="A2" s="55" t="s">
        <v>4</v>
      </c>
      <c r="B2" s="1" t="s">
        <v>0</v>
      </c>
      <c r="C2" s="2" t="s">
        <v>9</v>
      </c>
      <c r="D2" s="2" t="s">
        <v>1</v>
      </c>
      <c r="E2" s="3" t="s">
        <v>5</v>
      </c>
      <c r="F2" s="4" t="s">
        <v>6</v>
      </c>
      <c r="G2" s="6" t="s">
        <v>2</v>
      </c>
      <c r="H2" s="6" t="s">
        <v>7</v>
      </c>
      <c r="I2" s="6" t="s">
        <v>58</v>
      </c>
      <c r="J2" s="13" t="s">
        <v>13</v>
      </c>
      <c r="K2" s="7" t="s">
        <v>3</v>
      </c>
      <c r="L2" s="7" t="s">
        <v>119</v>
      </c>
      <c r="N2" s="9">
        <f>SUM(G:G)</f>
        <v>58230.19</v>
      </c>
      <c r="Q2" s="11">
        <f>COUNTA(A3:A450)</f>
        <v>13</v>
      </c>
    </row>
    <row r="3" spans="1:17" x14ac:dyDescent="0.25">
      <c r="A3" t="s">
        <v>229</v>
      </c>
      <c r="B3" t="s">
        <v>215</v>
      </c>
      <c r="C3">
        <v>278386940</v>
      </c>
      <c r="D3" s="64" t="s">
        <v>230</v>
      </c>
      <c r="E3" s="33">
        <v>46010</v>
      </c>
      <c r="F3" s="33">
        <v>46022</v>
      </c>
      <c r="G3" s="135">
        <v>3300</v>
      </c>
      <c r="H3" s="8">
        <v>420</v>
      </c>
      <c r="I3" s="8">
        <v>2400</v>
      </c>
      <c r="J3" s="8">
        <v>0</v>
      </c>
      <c r="K3" s="8">
        <v>480</v>
      </c>
      <c r="L3" s="8" t="s">
        <v>231</v>
      </c>
      <c r="M3" s="15" t="s">
        <v>14</v>
      </c>
      <c r="N3" s="11" t="s">
        <v>15</v>
      </c>
      <c r="P3" s="10" t="s">
        <v>14</v>
      </c>
      <c r="Q3" t="s">
        <v>51</v>
      </c>
    </row>
    <row r="4" spans="1:17" x14ac:dyDescent="0.25">
      <c r="A4" t="s">
        <v>234</v>
      </c>
      <c r="B4" t="s">
        <v>215</v>
      </c>
      <c r="C4" t="s">
        <v>235</v>
      </c>
      <c r="D4" s="141" t="s">
        <v>236</v>
      </c>
      <c r="E4" s="33">
        <v>46030</v>
      </c>
      <c r="F4" s="33">
        <v>46062</v>
      </c>
      <c r="G4" s="114">
        <v>532.5</v>
      </c>
      <c r="H4" s="8">
        <v>471</v>
      </c>
      <c r="I4" s="8">
        <v>0</v>
      </c>
      <c r="J4" s="8">
        <v>0</v>
      </c>
      <c r="K4" s="8">
        <v>61.5</v>
      </c>
      <c r="L4" s="8" t="s">
        <v>237</v>
      </c>
      <c r="M4" s="10" t="s">
        <v>56</v>
      </c>
      <c r="N4" s="12">
        <f>SUMIF(B:B,"Mondelez",G:G)</f>
        <v>28020.05</v>
      </c>
      <c r="P4" s="10" t="s">
        <v>56</v>
      </c>
      <c r="Q4">
        <f>COUNTIF(B:B,"Mondelez")</f>
        <v>3</v>
      </c>
    </row>
    <row r="5" spans="1:17" x14ac:dyDescent="0.25">
      <c r="A5" t="s">
        <v>240</v>
      </c>
      <c r="B5" t="s">
        <v>241</v>
      </c>
      <c r="C5" s="10">
        <v>4602052586</v>
      </c>
      <c r="D5" t="s">
        <v>242</v>
      </c>
      <c r="E5" s="33">
        <v>46043</v>
      </c>
      <c r="F5" s="33">
        <v>46044</v>
      </c>
      <c r="G5" s="135">
        <v>366</v>
      </c>
      <c r="H5" s="8">
        <f>168+165</f>
        <v>333</v>
      </c>
      <c r="I5" s="8">
        <v>0</v>
      </c>
      <c r="J5" s="8">
        <v>0</v>
      </c>
      <c r="K5" s="8">
        <v>33</v>
      </c>
      <c r="L5" s="8" t="s">
        <v>243</v>
      </c>
      <c r="M5" s="10" t="s">
        <v>21</v>
      </c>
      <c r="N5" s="12">
        <f>SUMIF(B:B,"Kimberly",G:G)</f>
        <v>0</v>
      </c>
      <c r="P5" s="10" t="s">
        <v>12</v>
      </c>
      <c r="Q5">
        <f>COUNTIF(B:B,"Kimberly")</f>
        <v>0</v>
      </c>
    </row>
    <row r="6" spans="1:17" x14ac:dyDescent="0.25">
      <c r="A6" t="s">
        <v>244</v>
      </c>
      <c r="B6" t="s">
        <v>245</v>
      </c>
      <c r="C6" s="10">
        <v>4580571581</v>
      </c>
      <c r="D6" t="s">
        <v>246</v>
      </c>
      <c r="E6" s="33">
        <v>46045</v>
      </c>
      <c r="F6" s="33">
        <v>46050</v>
      </c>
      <c r="G6" s="114">
        <v>1664.64</v>
      </c>
      <c r="H6" s="8">
        <v>700</v>
      </c>
      <c r="I6" s="8">
        <v>803.88</v>
      </c>
      <c r="J6" s="8">
        <v>0</v>
      </c>
      <c r="K6" s="8">
        <v>160.76</v>
      </c>
      <c r="L6" s="8" t="s">
        <v>243</v>
      </c>
      <c r="M6" s="10" t="s">
        <v>207</v>
      </c>
      <c r="N6" s="12">
        <f>SUMIF(B:B,"selim",G:G)</f>
        <v>0</v>
      </c>
      <c r="P6" s="10" t="s">
        <v>207</v>
      </c>
      <c r="Q6">
        <f>COUNTIF(B:B,"selim")</f>
        <v>0</v>
      </c>
    </row>
    <row r="7" spans="1:17" x14ac:dyDescent="0.25">
      <c r="A7" t="s">
        <v>256</v>
      </c>
      <c r="B7" t="s">
        <v>56</v>
      </c>
      <c r="C7" s="17">
        <v>7333011639</v>
      </c>
      <c r="D7" t="s">
        <v>257</v>
      </c>
      <c r="E7" s="33">
        <v>46058</v>
      </c>
      <c r="F7" s="145">
        <v>46064</v>
      </c>
      <c r="G7" s="114">
        <v>4073.75</v>
      </c>
      <c r="H7" s="8">
        <v>2889.9</v>
      </c>
      <c r="I7" s="146">
        <v>0</v>
      </c>
      <c r="J7" s="146">
        <v>0</v>
      </c>
      <c r="K7" s="146">
        <v>1183.8499999999999</v>
      </c>
      <c r="L7" s="146" t="s">
        <v>243</v>
      </c>
      <c r="M7" s="10" t="s">
        <v>201</v>
      </c>
      <c r="N7" s="12">
        <f>SUMIF(B:B,"peru process",G:G)</f>
        <v>0</v>
      </c>
      <c r="P7" s="10" t="s">
        <v>68</v>
      </c>
      <c r="Q7">
        <f>COUNTIF(B:B,"Gloria")</f>
        <v>0</v>
      </c>
    </row>
    <row r="8" spans="1:17" x14ac:dyDescent="0.25">
      <c r="A8" t="s">
        <v>258</v>
      </c>
      <c r="B8" t="s">
        <v>245</v>
      </c>
      <c r="C8" s="10">
        <v>4580661549</v>
      </c>
      <c r="D8" t="s">
        <v>259</v>
      </c>
      <c r="E8" s="33">
        <v>46058</v>
      </c>
      <c r="F8" s="145">
        <v>46062</v>
      </c>
      <c r="G8" s="114">
        <v>420</v>
      </c>
      <c r="H8" s="8">
        <v>120</v>
      </c>
      <c r="I8" s="146">
        <v>250</v>
      </c>
      <c r="J8" s="146">
        <v>0</v>
      </c>
      <c r="K8" s="146">
        <v>50</v>
      </c>
      <c r="L8" s="146" t="s">
        <v>243</v>
      </c>
      <c r="M8" s="10" t="s">
        <v>68</v>
      </c>
      <c r="N8" s="12">
        <f>SUMIF(B:B,"gloria",G:G)</f>
        <v>0</v>
      </c>
      <c r="P8" s="10" t="s">
        <v>201</v>
      </c>
      <c r="Q8">
        <f>COUNTIF(B:B,"peru process")</f>
        <v>0</v>
      </c>
    </row>
    <row r="9" spans="1:17" x14ac:dyDescent="0.25">
      <c r="A9" t="s">
        <v>274</v>
      </c>
      <c r="B9" t="s">
        <v>56</v>
      </c>
      <c r="C9" s="10">
        <v>7333061880</v>
      </c>
      <c r="D9" s="64" t="s">
        <v>275</v>
      </c>
      <c r="E9" s="33">
        <v>46073</v>
      </c>
      <c r="F9" s="33">
        <v>46112</v>
      </c>
      <c r="G9" s="135">
        <v>13946.3</v>
      </c>
      <c r="H9" s="8">
        <v>5870</v>
      </c>
      <c r="I9" s="8">
        <v>7341.9</v>
      </c>
      <c r="J9" s="8">
        <v>0</v>
      </c>
      <c r="K9" s="8">
        <v>734.4</v>
      </c>
      <c r="L9" s="8" t="s">
        <v>237</v>
      </c>
      <c r="M9" s="10" t="s">
        <v>124</v>
      </c>
      <c r="N9" s="12">
        <f>SUMIF(B:B,"metso",G:G)</f>
        <v>0</v>
      </c>
      <c r="P9" s="10" t="s">
        <v>208</v>
      </c>
      <c r="Q9">
        <f>COUNTIF(B:B,"dempro")</f>
        <v>0</v>
      </c>
    </row>
    <row r="10" spans="1:17" x14ac:dyDescent="0.25">
      <c r="A10" t="s">
        <v>279</v>
      </c>
      <c r="B10" t="s">
        <v>280</v>
      </c>
      <c r="C10" s="10"/>
      <c r="D10" s="64" t="s">
        <v>281</v>
      </c>
      <c r="E10" s="33">
        <v>46081</v>
      </c>
      <c r="F10" s="33">
        <v>46086</v>
      </c>
      <c r="G10" s="114">
        <v>4616</v>
      </c>
      <c r="H10" s="8">
        <f>626+3200</f>
        <v>3826</v>
      </c>
      <c r="I10" s="8">
        <v>130</v>
      </c>
      <c r="J10" s="8">
        <v>0</v>
      </c>
      <c r="K10" s="8">
        <v>660</v>
      </c>
      <c r="L10" s="8" t="s">
        <v>243</v>
      </c>
      <c r="M10" s="10" t="s">
        <v>208</v>
      </c>
      <c r="N10" s="12">
        <f>SUMIF(B:B,"DEMPRO",G:G)</f>
        <v>0</v>
      </c>
      <c r="P10" s="10" t="s">
        <v>215</v>
      </c>
      <c r="Q10">
        <f>COUNTIF(B:B,"rinti")</f>
        <v>4</v>
      </c>
    </row>
    <row r="11" spans="1:17" x14ac:dyDescent="0.25">
      <c r="A11" t="s">
        <v>289</v>
      </c>
      <c r="B11" t="s">
        <v>215</v>
      </c>
      <c r="C11" s="10"/>
      <c r="D11" s="64" t="s">
        <v>290</v>
      </c>
      <c r="E11" s="33">
        <v>46101</v>
      </c>
      <c r="F11" s="33">
        <v>46122</v>
      </c>
      <c r="G11" s="114">
        <v>2180</v>
      </c>
      <c r="H11" s="8">
        <v>380</v>
      </c>
      <c r="I11" s="8">
        <v>1500</v>
      </c>
      <c r="J11" s="8">
        <v>0</v>
      </c>
      <c r="K11" s="8">
        <v>300</v>
      </c>
      <c r="L11" s="8" t="s">
        <v>237</v>
      </c>
      <c r="M11" s="10" t="s">
        <v>215</v>
      </c>
      <c r="N11" s="12">
        <f>SUMIF(B:B,"Rinti",G:G)</f>
        <v>9467.5</v>
      </c>
      <c r="P11" s="10" t="s">
        <v>124</v>
      </c>
      <c r="Q11">
        <f>COUNTIF(B:B,"metso")</f>
        <v>0</v>
      </c>
    </row>
    <row r="12" spans="1:17" x14ac:dyDescent="0.25">
      <c r="A12" t="s">
        <v>299</v>
      </c>
      <c r="B12" t="s">
        <v>56</v>
      </c>
      <c r="C12" s="10">
        <v>7333101068</v>
      </c>
      <c r="D12" s="64" t="s">
        <v>300</v>
      </c>
      <c r="E12" s="33">
        <v>46119</v>
      </c>
      <c r="F12" s="33">
        <v>46149</v>
      </c>
      <c r="G12" s="114">
        <v>10000</v>
      </c>
      <c r="H12" s="8">
        <v>6890</v>
      </c>
      <c r="I12" s="8">
        <v>2825</v>
      </c>
      <c r="J12" s="8">
        <v>0</v>
      </c>
      <c r="K12" s="8">
        <v>285</v>
      </c>
      <c r="L12" s="8" t="s">
        <v>237</v>
      </c>
      <c r="M12" s="10" t="s">
        <v>53</v>
      </c>
      <c r="N12" s="12">
        <f>SUMIF(B:B,"Rockwell",G:G)</f>
        <v>0</v>
      </c>
      <c r="P12" s="10" t="s">
        <v>53</v>
      </c>
      <c r="Q12">
        <f>COUNTIF(B:B,"Rockwell")</f>
        <v>0</v>
      </c>
    </row>
    <row r="13" spans="1:17" x14ac:dyDescent="0.25">
      <c r="A13" t="s">
        <v>328</v>
      </c>
      <c r="B13" t="s">
        <v>245</v>
      </c>
      <c r="C13" s="10">
        <v>4581800203</v>
      </c>
      <c r="D13" s="64" t="s">
        <v>329</v>
      </c>
      <c r="E13" s="33">
        <v>46188</v>
      </c>
      <c r="F13" s="33">
        <v>46198</v>
      </c>
      <c r="G13" s="135">
        <v>880</v>
      </c>
      <c r="H13" s="8">
        <v>160</v>
      </c>
      <c r="I13" s="8">
        <v>600</v>
      </c>
      <c r="J13" s="8">
        <v>0</v>
      </c>
      <c r="K13" s="8">
        <v>120</v>
      </c>
      <c r="L13" s="8" t="s">
        <v>237</v>
      </c>
      <c r="M13" s="10" t="s">
        <v>200</v>
      </c>
      <c r="N13" s="12">
        <f>SUMIF(B:B,"molitalia",G:G)</f>
        <v>0</v>
      </c>
      <c r="P13" s="10" t="s">
        <v>198</v>
      </c>
      <c r="Q13">
        <f>COUNTIF(B:B,"CONNECT TECH")</f>
        <v>0</v>
      </c>
    </row>
    <row r="14" spans="1:17" x14ac:dyDescent="0.25">
      <c r="A14" t="s">
        <v>333</v>
      </c>
      <c r="B14" t="s">
        <v>215</v>
      </c>
      <c r="C14" s="10"/>
      <c r="D14" s="64" t="s">
        <v>334</v>
      </c>
      <c r="E14" s="33">
        <v>46213</v>
      </c>
      <c r="F14" s="33">
        <v>46230</v>
      </c>
      <c r="G14" s="114">
        <v>3455</v>
      </c>
      <c r="H14" s="8">
        <f>506.96+400</f>
        <v>906.96</v>
      </c>
      <c r="I14" s="8">
        <v>2060</v>
      </c>
      <c r="J14" s="8">
        <v>0</v>
      </c>
      <c r="K14" s="8">
        <v>488.04</v>
      </c>
      <c r="L14" s="8" t="s">
        <v>243</v>
      </c>
      <c r="M14" s="10" t="s">
        <v>123</v>
      </c>
      <c r="N14" s="12">
        <f>SUMIF(B:B,"eternit",G:G)</f>
        <v>0</v>
      </c>
      <c r="P14" s="10" t="s">
        <v>202</v>
      </c>
      <c r="Q14">
        <f>COUNTIF(B:B,"SC ing.")</f>
        <v>0</v>
      </c>
    </row>
    <row r="15" spans="1:17" x14ac:dyDescent="0.25">
      <c r="A15" t="s">
        <v>342</v>
      </c>
      <c r="B15" t="s">
        <v>245</v>
      </c>
      <c r="C15" s="10">
        <v>4582046265</v>
      </c>
      <c r="D15" s="64" t="s">
        <v>343</v>
      </c>
      <c r="E15" s="33">
        <v>46217</v>
      </c>
      <c r="F15" s="33">
        <v>46300</v>
      </c>
      <c r="G15" s="114">
        <v>12796</v>
      </c>
      <c r="H15" s="8">
        <f>1762+5650</f>
        <v>7412</v>
      </c>
      <c r="I15" s="8">
        <v>4293</v>
      </c>
      <c r="J15" s="8">
        <v>0</v>
      </c>
      <c r="K15" s="8">
        <v>1091</v>
      </c>
      <c r="L15" s="8" t="s">
        <v>237</v>
      </c>
      <c r="M15" s="10" t="s">
        <v>190</v>
      </c>
      <c r="N15" s="12">
        <f>SUMIF(B:B,"bradjur",G:G)</f>
        <v>0</v>
      </c>
      <c r="P15" s="10" t="s">
        <v>200</v>
      </c>
      <c r="Q15">
        <f>COUNTIF(B:B,"molitalia")</f>
        <v>0</v>
      </c>
    </row>
    <row r="16" spans="1:17" x14ac:dyDescent="0.25">
      <c r="D16" s="64"/>
      <c r="E16" s="33"/>
      <c r="F16" s="32"/>
      <c r="G16" s="135"/>
      <c r="H16" s="8"/>
      <c r="I16" s="8"/>
      <c r="J16" s="8"/>
      <c r="K16" s="8"/>
      <c r="L16" s="8"/>
      <c r="M16" s="10" t="s">
        <v>189</v>
      </c>
      <c r="N16" s="12">
        <f>SUMIF(B:B,"global alimentos",G:G)</f>
        <v>0</v>
      </c>
      <c r="P16" s="10" t="s">
        <v>123</v>
      </c>
      <c r="Q16">
        <f>COUNTIF(B:B,"Eternit")</f>
        <v>0</v>
      </c>
    </row>
    <row r="17" spans="3:17" x14ac:dyDescent="0.25">
      <c r="C17" s="10"/>
      <c r="D17" s="64"/>
      <c r="E17" s="33"/>
      <c r="F17" s="33"/>
      <c r="G17" s="135"/>
      <c r="H17" s="8"/>
      <c r="I17" s="8"/>
      <c r="J17" s="8"/>
      <c r="K17" s="8"/>
      <c r="L17" s="8"/>
      <c r="M17" s="10" t="s">
        <v>198</v>
      </c>
      <c r="N17" s="12">
        <f>SUMIF(B:B,"CONNECT TECH",G:G)</f>
        <v>0</v>
      </c>
      <c r="P17" s="10" t="s">
        <v>189</v>
      </c>
      <c r="Q17">
        <f>COUNTIF(B:B,"global alimentos")</f>
        <v>0</v>
      </c>
    </row>
    <row r="18" spans="3:17" x14ac:dyDescent="0.25">
      <c r="C18" s="10"/>
      <c r="D18" s="64"/>
      <c r="E18" s="33"/>
      <c r="F18" s="33"/>
      <c r="G18" s="114"/>
      <c r="H18" s="8"/>
      <c r="I18" s="8"/>
      <c r="J18" s="8"/>
      <c r="K18" s="8"/>
      <c r="L18" s="8"/>
      <c r="M18" s="10" t="s">
        <v>25</v>
      </c>
      <c r="N18" s="12">
        <f>SUMIF(B:B,"Owens illinois",G:G)</f>
        <v>0</v>
      </c>
      <c r="P18" s="10" t="s">
        <v>10</v>
      </c>
      <c r="Q18">
        <f>COUNTIF(B:B,"Precisión")</f>
        <v>0</v>
      </c>
    </row>
    <row r="19" spans="3:17" x14ac:dyDescent="0.25">
      <c r="D19" s="64"/>
      <c r="E19" s="33"/>
      <c r="F19" s="145"/>
      <c r="G19" s="135"/>
      <c r="H19" s="8"/>
      <c r="I19" s="8"/>
      <c r="J19" s="8"/>
      <c r="K19" s="8"/>
      <c r="L19" s="8"/>
      <c r="M19" s="10" t="s">
        <v>10</v>
      </c>
      <c r="N19" s="12">
        <f>SUMIF(B:B,"Precisión",G:G)</f>
        <v>0</v>
      </c>
      <c r="P19" s="10" t="s">
        <v>54</v>
      </c>
      <c r="Q19">
        <f>COUNTIF(B:B,"Bimbo")</f>
        <v>0</v>
      </c>
    </row>
    <row r="20" spans="3:17" x14ac:dyDescent="0.25">
      <c r="D20" s="64"/>
      <c r="E20" s="33"/>
      <c r="F20" s="145"/>
      <c r="G20" s="114"/>
      <c r="H20" s="8"/>
      <c r="I20" s="8"/>
      <c r="J20" s="8"/>
      <c r="K20" s="8"/>
      <c r="L20" s="8"/>
      <c r="M20" s="10" t="s">
        <v>54</v>
      </c>
      <c r="N20" s="12">
        <f>SUMIF(B:B,"bimbo",G:G)</f>
        <v>0</v>
      </c>
      <c r="P20" s="10" t="s">
        <v>69</v>
      </c>
      <c r="Q20">
        <f>COUNTIF(B:B,"Goodyear")</f>
        <v>0</v>
      </c>
    </row>
    <row r="21" spans="3:17" x14ac:dyDescent="0.25">
      <c r="C21" s="10"/>
      <c r="D21" s="64"/>
      <c r="E21" s="33"/>
      <c r="F21" s="33"/>
      <c r="G21" s="114"/>
      <c r="H21" s="8"/>
      <c r="I21" s="8"/>
      <c r="J21" s="8"/>
      <c r="K21" s="8"/>
      <c r="L21" s="8"/>
      <c r="M21" s="10" t="s">
        <v>69</v>
      </c>
      <c r="N21" s="12">
        <f>SUMIF(B:B,"GoodYear",G:G)</f>
        <v>0</v>
      </c>
      <c r="P21" s="10" t="s">
        <v>25</v>
      </c>
      <c r="Q21">
        <f>COUNTIF(B:B,"Owens Illinois")</f>
        <v>0</v>
      </c>
    </row>
    <row r="22" spans="3:17" x14ac:dyDescent="0.25">
      <c r="C22" s="10"/>
      <c r="D22" s="64"/>
      <c r="E22" s="33"/>
      <c r="F22" s="33"/>
      <c r="G22" s="135"/>
      <c r="H22" s="8"/>
      <c r="I22" s="8"/>
      <c r="J22" s="8"/>
      <c r="K22" s="8"/>
      <c r="L22" s="8"/>
      <c r="N22" s="12"/>
    </row>
    <row r="23" spans="3:17" x14ac:dyDescent="0.25">
      <c r="C23" s="10"/>
      <c r="D23" s="64"/>
      <c r="E23" s="33"/>
      <c r="F23" s="33"/>
      <c r="G23" s="114"/>
      <c r="H23" s="8"/>
      <c r="I23" s="8"/>
      <c r="J23" s="8"/>
      <c r="K23" s="8"/>
      <c r="L23" s="8"/>
      <c r="M23" s="10" t="s">
        <v>16</v>
      </c>
      <c r="N23" s="9">
        <f>SUM(N4:N22)</f>
        <v>37487.550000000003</v>
      </c>
      <c r="O23" s="8">
        <f>O29-N23</f>
        <v>20742.64</v>
      </c>
      <c r="Q23" s="11">
        <f>SUM(Q4:Q22)</f>
        <v>7</v>
      </c>
    </row>
    <row r="24" spans="3:17" x14ac:dyDescent="0.25">
      <c r="C24" s="10"/>
      <c r="D24" s="64"/>
      <c r="E24" s="33"/>
      <c r="F24" s="33"/>
      <c r="G24" s="114"/>
      <c r="H24" s="8"/>
      <c r="I24" s="8"/>
      <c r="J24" s="8"/>
      <c r="K24" s="8"/>
      <c r="L24" s="8"/>
      <c r="N24" t="s">
        <v>45</v>
      </c>
      <c r="O24" t="s">
        <v>44</v>
      </c>
    </row>
    <row r="25" spans="3:17" x14ac:dyDescent="0.25">
      <c r="C25" s="10"/>
      <c r="D25" s="64"/>
      <c r="E25" s="33"/>
      <c r="F25" s="33"/>
      <c r="G25" s="114"/>
      <c r="H25" s="8"/>
      <c r="I25" s="8"/>
      <c r="J25" s="8"/>
      <c r="K25" s="8"/>
      <c r="L25" s="8"/>
      <c r="N25" s="9" t="s">
        <v>41</v>
      </c>
      <c r="O25" s="8">
        <f>SUM(H:H)</f>
        <v>30378.86</v>
      </c>
    </row>
    <row r="26" spans="3:17" x14ac:dyDescent="0.25">
      <c r="C26" s="10"/>
      <c r="D26" s="64"/>
      <c r="E26" s="33"/>
      <c r="F26" s="33"/>
      <c r="G26" s="114"/>
      <c r="H26" s="8"/>
      <c r="I26" s="8"/>
      <c r="J26" s="8"/>
      <c r="K26" s="8"/>
      <c r="L26" s="8"/>
      <c r="N26" s="11" t="s">
        <v>58</v>
      </c>
      <c r="O26" s="8">
        <f>SUM(I:I)</f>
        <v>22203.78</v>
      </c>
    </row>
    <row r="27" spans="3:17" x14ac:dyDescent="0.25">
      <c r="C27" s="10"/>
      <c r="D27" s="64"/>
      <c r="E27" s="33"/>
      <c r="F27" s="33"/>
      <c r="G27" s="114"/>
      <c r="H27" s="8"/>
      <c r="I27" s="8"/>
      <c r="J27" s="8"/>
      <c r="K27" s="8"/>
      <c r="L27" s="8"/>
      <c r="N27" s="11" t="s">
        <v>42</v>
      </c>
      <c r="O27" s="8">
        <f>SUM(J:J)</f>
        <v>0</v>
      </c>
    </row>
    <row r="28" spans="3:17" x14ac:dyDescent="0.25">
      <c r="D28" s="64"/>
      <c r="E28" s="33"/>
      <c r="F28" s="33"/>
      <c r="G28" s="114"/>
      <c r="H28" s="8"/>
      <c r="I28" s="8"/>
      <c r="J28" s="8"/>
      <c r="K28" s="8"/>
      <c r="L28" s="8"/>
      <c r="N28" s="11" t="s">
        <v>43</v>
      </c>
      <c r="O28" s="8">
        <f>SUM(K:K)</f>
        <v>5647.55</v>
      </c>
    </row>
    <row r="29" spans="3:17" x14ac:dyDescent="0.25">
      <c r="C29" s="10"/>
      <c r="D29" s="64"/>
      <c r="E29" s="33"/>
      <c r="F29" s="33"/>
      <c r="G29" s="114"/>
      <c r="H29" s="8"/>
      <c r="I29" s="8"/>
      <c r="J29" s="8"/>
      <c r="K29" s="8"/>
      <c r="L29" s="8"/>
      <c r="O29" s="9">
        <f>SUM(O25:O28)</f>
        <v>58230.19</v>
      </c>
    </row>
    <row r="30" spans="3:17" x14ac:dyDescent="0.25">
      <c r="C30" s="10"/>
      <c r="D30" s="64"/>
      <c r="E30" s="33"/>
      <c r="F30" s="33"/>
      <c r="G30" s="135"/>
      <c r="H30" s="8"/>
      <c r="I30" s="8"/>
      <c r="J30" s="8"/>
      <c r="K30" s="8"/>
      <c r="L30" s="8"/>
    </row>
    <row r="31" spans="3:17" ht="15.75" thickBot="1" x14ac:dyDescent="0.3">
      <c r="C31" s="10"/>
      <c r="D31" s="64"/>
      <c r="E31" s="33"/>
      <c r="F31" s="33"/>
      <c r="G31" s="114"/>
      <c r="H31" s="8"/>
      <c r="I31" s="8"/>
      <c r="J31" s="8"/>
      <c r="K31" s="149"/>
      <c r="L31" s="8"/>
    </row>
    <row r="32" spans="3:17" ht="18.75" x14ac:dyDescent="0.3">
      <c r="C32" s="10"/>
      <c r="D32" s="64"/>
      <c r="E32" s="33"/>
      <c r="F32" s="33"/>
      <c r="G32" s="114"/>
      <c r="H32" s="8"/>
      <c r="I32" s="8"/>
      <c r="J32" s="8"/>
      <c r="K32" s="8"/>
      <c r="L32" s="8"/>
      <c r="N32" s="24" t="s">
        <v>67</v>
      </c>
      <c r="O32" s="25" t="e">
        <f>SUM(#REF!)</f>
        <v>#REF!</v>
      </c>
    </row>
    <row r="33" spans="3:19" ht="19.5" thickBot="1" x14ac:dyDescent="0.35">
      <c r="C33" s="10"/>
      <c r="D33" s="64"/>
      <c r="E33" s="33"/>
      <c r="F33" s="33"/>
      <c r="G33" s="114"/>
      <c r="H33" s="8"/>
      <c r="I33" s="8"/>
      <c r="J33" s="8"/>
      <c r="K33" s="8"/>
      <c r="L33" s="8"/>
      <c r="N33" s="26" t="s">
        <v>55</v>
      </c>
      <c r="O33" s="27" t="e">
        <f>SUM(#REF!)</f>
        <v>#REF!</v>
      </c>
    </row>
    <row r="34" spans="3:19" ht="18.75" x14ac:dyDescent="0.3">
      <c r="C34" s="10"/>
      <c r="D34" s="64"/>
      <c r="E34" s="33"/>
      <c r="F34" s="33"/>
      <c r="G34" s="114"/>
      <c r="H34" s="8"/>
      <c r="I34" s="8"/>
      <c r="J34" s="8"/>
      <c r="K34" s="8"/>
      <c r="L34" s="8"/>
      <c r="O34" s="28" t="e">
        <f>SUM(O32:O33)</f>
        <v>#REF!</v>
      </c>
    </row>
    <row r="35" spans="3:19" ht="15.75" thickBot="1" x14ac:dyDescent="0.3">
      <c r="C35" s="10"/>
      <c r="D35" s="64"/>
      <c r="E35" s="80"/>
      <c r="F35" s="33"/>
      <c r="G35" s="114"/>
      <c r="H35" s="8"/>
      <c r="I35" s="8"/>
      <c r="J35" s="8"/>
      <c r="K35" s="8"/>
      <c r="L35" s="8"/>
    </row>
    <row r="36" spans="3:19" ht="19.5" thickBot="1" x14ac:dyDescent="0.35">
      <c r="C36" s="10"/>
      <c r="D36" s="64"/>
      <c r="E36" s="80"/>
      <c r="F36" s="33"/>
      <c r="G36" s="114"/>
      <c r="H36" s="8"/>
      <c r="I36" s="8"/>
      <c r="J36" s="8"/>
      <c r="K36" s="8"/>
      <c r="L36" s="8"/>
      <c r="N36" s="37" t="s">
        <v>59</v>
      </c>
      <c r="O36" s="38">
        <f>P56</f>
        <v>0</v>
      </c>
    </row>
    <row r="37" spans="3:19" ht="18.75" x14ac:dyDescent="0.3">
      <c r="C37" s="10"/>
      <c r="D37" s="64"/>
      <c r="E37" s="80"/>
      <c r="F37" s="33"/>
      <c r="G37" s="114"/>
      <c r="H37" s="8"/>
      <c r="I37" s="8"/>
      <c r="J37" s="8"/>
      <c r="K37" s="8"/>
      <c r="L37" s="8"/>
      <c r="N37" s="94"/>
      <c r="O37" s="95"/>
    </row>
    <row r="38" spans="3:19" ht="15.75" thickBot="1" x14ac:dyDescent="0.3">
      <c r="C38" s="10"/>
      <c r="D38" s="64"/>
      <c r="E38" s="80"/>
      <c r="F38" s="33"/>
      <c r="G38" s="114"/>
      <c r="H38" s="8"/>
      <c r="I38" s="8"/>
      <c r="J38" s="8"/>
      <c r="K38" s="8"/>
      <c r="L38" s="8"/>
    </row>
    <row r="39" spans="3:19" ht="21.75" thickBot="1" x14ac:dyDescent="0.4">
      <c r="C39" s="10"/>
      <c r="D39" s="64"/>
      <c r="E39" s="80"/>
      <c r="F39" s="33"/>
      <c r="G39" s="114"/>
      <c r="H39" s="8"/>
      <c r="I39" s="8"/>
      <c r="J39" s="8"/>
      <c r="K39" s="8"/>
      <c r="L39" s="8"/>
      <c r="N39" s="34" t="s">
        <v>65</v>
      </c>
      <c r="O39" s="35">
        <f>O26+O28</f>
        <v>27851.329999999998</v>
      </c>
    </row>
    <row r="40" spans="3:19" ht="15.75" thickBot="1" x14ac:dyDescent="0.3">
      <c r="C40" s="10"/>
      <c r="D40" s="64"/>
      <c r="E40" s="80"/>
      <c r="F40" s="33"/>
      <c r="G40" s="114"/>
      <c r="H40" s="8"/>
      <c r="I40" s="8"/>
      <c r="J40" s="8"/>
      <c r="K40" s="8"/>
      <c r="L40" s="8"/>
      <c r="N40" s="36">
        <f ca="1">NOW()</f>
        <v>46237.384116435183</v>
      </c>
      <c r="R40" s="20" t="s">
        <v>50</v>
      </c>
      <c r="S40" s="21" t="s">
        <v>44</v>
      </c>
    </row>
    <row r="41" spans="3:19" ht="15.75" thickBot="1" x14ac:dyDescent="0.3">
      <c r="C41" s="10"/>
      <c r="D41" s="64"/>
      <c r="E41" s="80"/>
      <c r="F41" s="33"/>
      <c r="G41" s="114"/>
      <c r="H41" s="8"/>
      <c r="I41" s="8"/>
      <c r="J41" s="8"/>
      <c r="K41" s="8"/>
      <c r="L41" s="8"/>
      <c r="R41" s="22" t="s">
        <v>48</v>
      </c>
      <c r="S41" s="23">
        <v>0</v>
      </c>
    </row>
    <row r="42" spans="3:19" ht="19.5" thickBot="1" x14ac:dyDescent="0.35">
      <c r="C42" s="10"/>
      <c r="D42" s="64"/>
      <c r="E42" s="80"/>
      <c r="F42" s="33"/>
      <c r="G42" s="114"/>
      <c r="H42" s="8"/>
      <c r="I42" s="8"/>
      <c r="J42" s="8"/>
      <c r="K42" s="8"/>
      <c r="L42" s="8"/>
      <c r="N42" s="151" t="s">
        <v>60</v>
      </c>
      <c r="O42" s="152"/>
      <c r="P42" s="153"/>
      <c r="R42" s="22" t="s">
        <v>49</v>
      </c>
      <c r="S42" s="23">
        <f>O29</f>
        <v>58230.19</v>
      </c>
    </row>
    <row r="43" spans="3:19" ht="19.5" thickBot="1" x14ac:dyDescent="0.35">
      <c r="C43" s="10"/>
      <c r="D43" s="64"/>
      <c r="E43" s="80"/>
      <c r="F43" s="33"/>
      <c r="G43" s="114"/>
      <c r="H43" s="8"/>
      <c r="I43" s="8"/>
      <c r="J43" s="8"/>
      <c r="K43" s="8"/>
      <c r="L43" s="8"/>
      <c r="N43" s="37" t="s">
        <v>61</v>
      </c>
      <c r="O43" s="37" t="s">
        <v>62</v>
      </c>
      <c r="P43" s="39" t="s">
        <v>8</v>
      </c>
    </row>
    <row r="44" spans="3:19" x14ac:dyDescent="0.25">
      <c r="C44" s="10"/>
      <c r="D44" s="64"/>
      <c r="E44" s="80"/>
      <c r="F44" s="33"/>
      <c r="G44" s="114"/>
      <c r="H44" s="8"/>
      <c r="I44" s="8"/>
      <c r="J44" s="8"/>
      <c r="K44" s="8"/>
      <c r="L44" s="8"/>
      <c r="N44" s="41"/>
      <c r="O44" s="8"/>
      <c r="P44" s="43"/>
    </row>
    <row r="45" spans="3:19" x14ac:dyDescent="0.25">
      <c r="C45" s="10"/>
      <c r="D45" s="64"/>
      <c r="E45" s="80"/>
      <c r="F45" s="33"/>
      <c r="G45" s="114"/>
      <c r="H45" s="8"/>
      <c r="I45" s="8"/>
      <c r="J45" s="8"/>
      <c r="K45" s="8"/>
      <c r="L45" s="8"/>
      <c r="N45" s="41"/>
      <c r="O45" s="8"/>
      <c r="P45" s="43"/>
    </row>
    <row r="46" spans="3:19" x14ac:dyDescent="0.25">
      <c r="C46" s="10"/>
      <c r="D46" s="64"/>
      <c r="E46" s="80"/>
      <c r="F46" s="33"/>
      <c r="G46" s="114"/>
      <c r="H46" s="8"/>
      <c r="I46" s="8"/>
      <c r="J46" s="8"/>
      <c r="K46" s="8"/>
      <c r="L46" s="8"/>
      <c r="N46" s="41"/>
      <c r="O46" s="8"/>
      <c r="P46" s="43"/>
    </row>
    <row r="47" spans="3:19" x14ac:dyDescent="0.25">
      <c r="C47" s="10"/>
      <c r="D47" s="64"/>
      <c r="E47" s="80"/>
      <c r="F47" s="33"/>
      <c r="G47" s="114"/>
      <c r="H47" s="8"/>
      <c r="I47" s="8"/>
      <c r="J47" s="8"/>
      <c r="K47" s="8"/>
      <c r="L47" s="8"/>
      <c r="N47" s="41"/>
      <c r="O47" s="42"/>
      <c r="P47" s="43"/>
    </row>
    <row r="48" spans="3:19" x14ac:dyDescent="0.25">
      <c r="C48" s="10"/>
      <c r="D48" s="64"/>
      <c r="E48" s="80"/>
      <c r="F48" s="33"/>
      <c r="G48" s="114"/>
      <c r="H48" s="8"/>
      <c r="I48" s="8"/>
      <c r="J48" s="8"/>
      <c r="K48" s="8"/>
      <c r="L48" s="8"/>
      <c r="N48" s="41"/>
      <c r="P48" s="43"/>
    </row>
    <row r="49" spans="3:16" x14ac:dyDescent="0.25">
      <c r="C49" s="10"/>
      <c r="D49" s="64"/>
      <c r="E49" s="80"/>
      <c r="F49" s="33"/>
      <c r="G49" s="114"/>
      <c r="H49" s="8"/>
      <c r="I49" s="8"/>
      <c r="J49" s="8"/>
      <c r="K49" s="8"/>
      <c r="L49" s="8"/>
      <c r="N49" s="41"/>
      <c r="P49" s="43"/>
    </row>
    <row r="50" spans="3:16" x14ac:dyDescent="0.25">
      <c r="C50" s="10"/>
      <c r="D50" s="64"/>
      <c r="E50" s="80"/>
      <c r="F50" s="33"/>
      <c r="G50" s="114"/>
      <c r="H50" s="8"/>
      <c r="I50" s="8"/>
      <c r="J50" s="8"/>
      <c r="K50" s="8"/>
      <c r="L50" s="8"/>
      <c r="N50" s="41"/>
      <c r="O50" s="42"/>
      <c r="P50" s="43"/>
    </row>
    <row r="51" spans="3:16" x14ac:dyDescent="0.25">
      <c r="C51" s="10"/>
      <c r="D51" s="64"/>
      <c r="E51" s="80"/>
      <c r="F51" s="33"/>
      <c r="G51" s="114"/>
      <c r="H51" s="8"/>
      <c r="I51" s="8"/>
      <c r="J51" s="8"/>
      <c r="K51" s="8"/>
      <c r="L51" s="8"/>
      <c r="N51" s="41"/>
      <c r="O51" s="42"/>
      <c r="P51" s="43"/>
    </row>
    <row r="52" spans="3:16" x14ac:dyDescent="0.25">
      <c r="C52" s="10"/>
      <c r="D52" s="64"/>
      <c r="E52" s="80"/>
      <c r="F52" s="33"/>
      <c r="G52" s="114"/>
      <c r="H52" s="8"/>
      <c r="I52" s="8"/>
      <c r="J52" s="8"/>
      <c r="K52" s="8"/>
      <c r="L52" s="8"/>
      <c r="N52" s="41"/>
      <c r="O52" s="16"/>
      <c r="P52" s="43"/>
    </row>
    <row r="53" spans="3:16" x14ac:dyDescent="0.25">
      <c r="C53" s="10"/>
      <c r="D53" s="64"/>
      <c r="E53" s="80"/>
      <c r="F53" s="33"/>
      <c r="G53" s="114"/>
      <c r="H53" s="8"/>
      <c r="I53" s="8"/>
      <c r="J53" s="8"/>
      <c r="K53" s="8"/>
      <c r="L53" s="8"/>
      <c r="N53" s="41"/>
      <c r="O53" s="42"/>
      <c r="P53" s="43"/>
    </row>
    <row r="54" spans="3:16" x14ac:dyDescent="0.25">
      <c r="E54" s="33"/>
      <c r="F54" s="33"/>
      <c r="G54" s="8"/>
      <c r="H54" s="8"/>
      <c r="I54" s="8"/>
      <c r="J54" s="8"/>
      <c r="K54" s="8"/>
      <c r="L54" s="8"/>
      <c r="N54" s="41"/>
      <c r="O54" s="42"/>
      <c r="P54" s="43"/>
    </row>
    <row r="55" spans="3:16" ht="15.75" thickBot="1" x14ac:dyDescent="0.3">
      <c r="E55" s="33"/>
      <c r="F55" s="33"/>
      <c r="G55" s="8"/>
      <c r="H55" s="8"/>
      <c r="I55" s="8"/>
      <c r="J55" s="8"/>
      <c r="K55" s="8"/>
      <c r="L55" s="8"/>
      <c r="N55" s="44"/>
      <c r="O55" s="45"/>
      <c r="P55" s="46"/>
    </row>
    <row r="56" spans="3:16" x14ac:dyDescent="0.25">
      <c r="E56" s="33"/>
      <c r="F56" s="33"/>
      <c r="G56" s="8"/>
      <c r="H56" s="8"/>
      <c r="I56" s="8"/>
      <c r="J56" s="8"/>
      <c r="K56" s="8"/>
      <c r="L56" s="8"/>
      <c r="P56" s="9">
        <f>SUM(P44:P55)</f>
        <v>0</v>
      </c>
    </row>
    <row r="57" spans="3:16" x14ac:dyDescent="0.25">
      <c r="E57" s="33"/>
      <c r="F57" s="33"/>
      <c r="G57" s="8"/>
      <c r="H57" s="8"/>
      <c r="I57" s="8"/>
      <c r="J57" s="8"/>
      <c r="K57" s="8"/>
      <c r="L57" s="8"/>
    </row>
    <row r="58" spans="3:16" x14ac:dyDescent="0.25">
      <c r="E58" s="33"/>
      <c r="F58" s="33"/>
      <c r="G58" s="8"/>
      <c r="H58" s="8"/>
      <c r="I58" s="8"/>
      <c r="J58" s="8"/>
      <c r="K58" s="8"/>
      <c r="L58" s="8"/>
    </row>
    <row r="59" spans="3:16" x14ac:dyDescent="0.25">
      <c r="E59" s="33"/>
      <c r="F59" s="33"/>
      <c r="G59" s="8"/>
      <c r="H59" s="8"/>
      <c r="I59" s="8"/>
      <c r="J59" s="8"/>
      <c r="K59" s="8"/>
      <c r="L59" s="8"/>
    </row>
    <row r="60" spans="3:16" x14ac:dyDescent="0.25">
      <c r="E60" s="33"/>
      <c r="F60" s="33"/>
      <c r="G60" s="8"/>
      <c r="H60" s="8"/>
      <c r="I60" s="8"/>
      <c r="J60" s="8"/>
      <c r="K60" s="8"/>
      <c r="L60" s="8"/>
    </row>
    <row r="61" spans="3:16" x14ac:dyDescent="0.25">
      <c r="E61" s="33"/>
      <c r="F61" s="33"/>
      <c r="G61" s="8"/>
      <c r="H61" s="8"/>
      <c r="I61" s="8"/>
      <c r="J61" s="8"/>
      <c r="K61" s="8"/>
      <c r="L61" s="8"/>
    </row>
    <row r="62" spans="3:16" x14ac:dyDescent="0.25">
      <c r="E62" s="33"/>
      <c r="F62" s="33"/>
      <c r="G62" s="8"/>
      <c r="H62" s="8"/>
      <c r="I62" s="8"/>
      <c r="J62" s="8"/>
      <c r="K62" s="8"/>
      <c r="L62" s="8"/>
    </row>
    <row r="63" spans="3:16" x14ac:dyDescent="0.25">
      <c r="E63" s="33"/>
      <c r="F63" s="33"/>
      <c r="G63" s="8"/>
      <c r="H63" s="8"/>
      <c r="I63" s="8"/>
      <c r="J63" s="8"/>
      <c r="K63" s="8"/>
      <c r="L63" s="8"/>
    </row>
    <row r="64" spans="3:16" x14ac:dyDescent="0.25">
      <c r="E64" s="33"/>
      <c r="F64" s="33"/>
      <c r="G64" s="8"/>
      <c r="H64" s="8"/>
      <c r="I64" s="8"/>
      <c r="J64" s="8"/>
      <c r="K64" s="8"/>
      <c r="L64" s="8"/>
    </row>
    <row r="65" spans="5:12" x14ac:dyDescent="0.25">
      <c r="E65" s="33"/>
      <c r="F65" s="33"/>
      <c r="G65" s="8"/>
      <c r="H65" s="8"/>
      <c r="I65" s="8"/>
      <c r="J65" s="8"/>
      <c r="K65" s="8"/>
      <c r="L65" s="8"/>
    </row>
    <row r="66" spans="5:12" x14ac:dyDescent="0.25">
      <c r="E66" s="33"/>
      <c r="F66" s="33"/>
      <c r="G66" s="8"/>
      <c r="H66" s="8"/>
      <c r="I66" s="8"/>
      <c r="J66" s="8"/>
      <c r="K66" s="8"/>
      <c r="L66" s="8"/>
    </row>
    <row r="67" spans="5:12" x14ac:dyDescent="0.25">
      <c r="E67" s="33"/>
      <c r="F67" s="33"/>
      <c r="G67" s="8"/>
      <c r="H67" s="8"/>
      <c r="I67" s="8"/>
      <c r="J67" s="8"/>
      <c r="K67" s="8"/>
      <c r="L67" s="8"/>
    </row>
    <row r="68" spans="5:12" x14ac:dyDescent="0.25">
      <c r="E68" s="33"/>
      <c r="F68" s="33"/>
      <c r="G68" s="8"/>
      <c r="H68" s="8"/>
      <c r="I68" s="8"/>
      <c r="J68" s="8"/>
      <c r="K68" s="8"/>
      <c r="L68" s="8"/>
    </row>
    <row r="69" spans="5:12" x14ac:dyDescent="0.25">
      <c r="E69" s="33"/>
      <c r="F69" s="5"/>
      <c r="G69" s="8"/>
      <c r="H69" s="8"/>
      <c r="I69" s="8"/>
      <c r="J69" s="8"/>
      <c r="K69" s="8"/>
      <c r="L69" s="8"/>
    </row>
    <row r="70" spans="5:12" x14ac:dyDescent="0.25">
      <c r="E70" s="33"/>
      <c r="F70" s="33"/>
      <c r="G70" s="8"/>
      <c r="H70" s="8"/>
      <c r="I70" s="8"/>
      <c r="J70" s="8"/>
      <c r="K70" s="8"/>
      <c r="L70" s="8"/>
    </row>
    <row r="71" spans="5:12" x14ac:dyDescent="0.25">
      <c r="E71" s="33"/>
      <c r="F71" s="33"/>
      <c r="G71" s="8"/>
      <c r="H71" s="8"/>
      <c r="I71" s="8"/>
      <c r="J71" s="8"/>
      <c r="K71" s="8"/>
    </row>
    <row r="72" spans="5:12" x14ac:dyDescent="0.25">
      <c r="E72" s="33"/>
      <c r="F72" s="33"/>
      <c r="G72" s="8"/>
      <c r="I72" s="8"/>
      <c r="J72" s="8"/>
      <c r="L72" s="8"/>
    </row>
    <row r="73" spans="5:12" x14ac:dyDescent="0.25">
      <c r="E73" s="33"/>
      <c r="F73" s="33"/>
      <c r="G73" s="8"/>
      <c r="H73" s="8"/>
      <c r="I73" s="8"/>
      <c r="J73" s="8"/>
      <c r="K73" s="8"/>
      <c r="L73" s="8"/>
    </row>
    <row r="74" spans="5:12" x14ac:dyDescent="0.25">
      <c r="E74" s="33"/>
      <c r="F74" s="33"/>
      <c r="G74" s="8"/>
      <c r="H74" s="8"/>
      <c r="I74" s="8"/>
      <c r="J74" s="8"/>
      <c r="K74" s="8"/>
      <c r="L74" s="8"/>
    </row>
    <row r="75" spans="5:12" x14ac:dyDescent="0.25">
      <c r="E75" s="33"/>
      <c r="F75" s="33"/>
      <c r="G75" s="8"/>
      <c r="H75" s="8"/>
      <c r="I75" s="8"/>
      <c r="J75" s="8"/>
      <c r="K75" s="8"/>
      <c r="L75" s="8"/>
    </row>
    <row r="76" spans="5:12" x14ac:dyDescent="0.25">
      <c r="E76" s="33"/>
      <c r="F76" s="33"/>
      <c r="G76" s="8"/>
      <c r="H76" s="8"/>
      <c r="I76" s="8"/>
      <c r="J76" s="8"/>
      <c r="K76" s="8"/>
      <c r="L76" s="8"/>
    </row>
    <row r="77" spans="5:12" x14ac:dyDescent="0.25">
      <c r="E77" s="33"/>
      <c r="F77" s="33"/>
      <c r="G77" s="8"/>
      <c r="H77" s="8"/>
      <c r="I77" s="8"/>
      <c r="J77" s="8"/>
      <c r="K77" s="8"/>
      <c r="L77" s="8"/>
    </row>
    <row r="78" spans="5:12" x14ac:dyDescent="0.25">
      <c r="E78" s="33"/>
      <c r="F78" s="33"/>
      <c r="G78" s="8"/>
      <c r="H78" s="8"/>
      <c r="I78" s="8"/>
      <c r="J78" s="8"/>
      <c r="K78" s="8"/>
    </row>
    <row r="79" spans="5:12" x14ac:dyDescent="0.25">
      <c r="E79" s="33"/>
      <c r="F79" s="33"/>
    </row>
    <row r="80" spans="5:12" x14ac:dyDescent="0.25">
      <c r="E80" s="33"/>
      <c r="F80" s="33"/>
    </row>
    <row r="81" spans="5:6" x14ac:dyDescent="0.25">
      <c r="E81" s="33"/>
      <c r="F81" s="33"/>
    </row>
    <row r="82" spans="5:6" x14ac:dyDescent="0.25">
      <c r="E82" s="33"/>
      <c r="F82" s="33"/>
    </row>
    <row r="83" spans="5:6" x14ac:dyDescent="0.25">
      <c r="E83" s="33"/>
      <c r="F83" s="33"/>
    </row>
    <row r="84" spans="5:6" x14ac:dyDescent="0.25">
      <c r="E84" s="33"/>
      <c r="F84" s="33"/>
    </row>
    <row r="85" spans="5:6" x14ac:dyDescent="0.25">
      <c r="E85" s="33"/>
      <c r="F85" s="33"/>
    </row>
    <row r="86" spans="5:6" x14ac:dyDescent="0.25">
      <c r="E86" s="33"/>
      <c r="F86" s="33"/>
    </row>
    <row r="87" spans="5:6" x14ac:dyDescent="0.25">
      <c r="E87" s="33"/>
      <c r="F87" s="33"/>
    </row>
    <row r="88" spans="5:6" x14ac:dyDescent="0.25">
      <c r="E88" s="33"/>
      <c r="F88" s="33"/>
    </row>
    <row r="89" spans="5:6" x14ac:dyDescent="0.25">
      <c r="E89" s="33"/>
      <c r="F89" s="33"/>
    </row>
    <row r="90" spans="5:6" x14ac:dyDescent="0.25">
      <c r="E90" s="33"/>
      <c r="F90" s="33"/>
    </row>
    <row r="91" spans="5:6" x14ac:dyDescent="0.25">
      <c r="E91" s="33"/>
      <c r="F91" s="33"/>
    </row>
    <row r="92" spans="5:6" x14ac:dyDescent="0.25">
      <c r="E92" s="33"/>
      <c r="F92" s="33"/>
    </row>
    <row r="93" spans="5:6" x14ac:dyDescent="0.25">
      <c r="E93" s="33"/>
      <c r="F93" s="33"/>
    </row>
    <row r="94" spans="5:6" x14ac:dyDescent="0.25">
      <c r="E94" s="32"/>
      <c r="F94" s="32"/>
    </row>
    <row r="95" spans="5:6" x14ac:dyDescent="0.25">
      <c r="E95" s="32"/>
      <c r="F95" s="32"/>
    </row>
  </sheetData>
  <autoFilter ref="A2:L73"/>
  <sortState ref="P4:Q21">
    <sortCondition descending="1" ref="Q4:Q21"/>
  </sortState>
  <mergeCells count="2">
    <mergeCell ref="N42:P42"/>
    <mergeCell ref="A1:D1"/>
  </mergeCells>
  <conditionalFormatting sqref="E94:F95">
    <cfRule type="timePeriod" dxfId="22" priority="105" timePeriod="today">
      <formula>FLOOR(E94,1)=TODAY()</formula>
    </cfRule>
  </conditionalFormatting>
  <conditionalFormatting sqref="E6 E10:E15 E4 E21:E53">
    <cfRule type="cellIs" dxfId="21" priority="34" operator="equal">
      <formula>"Parcial"</formula>
    </cfRule>
  </conditionalFormatting>
  <conditionalFormatting sqref="E3">
    <cfRule type="cellIs" dxfId="20" priority="234" operator="equal">
      <formula>"Parcial"</formula>
    </cfRule>
  </conditionalFormatting>
  <conditionalFormatting sqref="E7:E9">
    <cfRule type="cellIs" dxfId="19" priority="19" operator="equal">
      <formula>"Parcial"</formula>
    </cfRule>
  </conditionalFormatting>
  <conditionalFormatting sqref="E16:E18">
    <cfRule type="cellIs" dxfId="18" priority="11" operator="equal">
      <formula>"Parcial"</formula>
    </cfRule>
  </conditionalFormatting>
  <conditionalFormatting sqref="E19">
    <cfRule type="cellIs" dxfId="17" priority="6" operator="equal">
      <formula>"Parcial"</formula>
    </cfRule>
  </conditionalFormatting>
  <conditionalFormatting sqref="E20">
    <cfRule type="cellIs" dxfId="16" priority="1" operator="equal">
      <formula>"Parcial"</formula>
    </cfRule>
  </conditionalFormatting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text="Vencida" id="{89A98E3A-09C3-4C2F-935E-1220FC38D9D2}">
            <xm:f>NOT(ISERROR(SEARCH("Vencida",OIL!E7)))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32" operator="containsText" text="Pagada" id="{502D6CE4-D898-47CA-9578-D9D70F258D2E}">
            <xm:f>NOT(ISERROR(SEARCH("Pagada",OIL!E7)))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33" operator="containsText" text="Pendiente" id="{E3D3087A-15BB-4B34-BFB5-2CA47FFAC5C9}">
            <xm:f>NOT(ISERROR(SEARCH("Pendiente",OIL!E7)))</xm:f>
            <x14:dxf>
              <fill>
                <patternFill>
                  <bgColor rgb="FFFF5050"/>
                </patternFill>
              </fill>
            </x14:dxf>
          </x14:cfRule>
          <x14:cfRule type="containsText" priority="35" operator="containsText" text="Facturado" id="{B67D1C1C-00AB-47E8-975F-0825EFFB05EC}">
            <xm:f>NOT(ISERROR(SEARCH("Facturado",OIL!E7)))</xm:f>
            <x14:dxf>
              <fill>
                <patternFill>
                  <bgColor theme="3" tint="0.39994506668294322"/>
                </patternFill>
              </fill>
            </x14:dxf>
          </x14:cfRule>
          <xm:sqref>E21:E23 E6:E12</xm:sqref>
        </x14:conditionalFormatting>
        <x14:conditionalFormatting xmlns:xm="http://schemas.microsoft.com/office/excel/2006/main">
          <x14:cfRule type="containsText" priority="231" operator="containsText" text="Vencida" id="{89A98E3A-09C3-4C2F-935E-1220FC38D9D2}">
            <xm:f>NOT(ISERROR(SEARCH("Vencida",OIL!E5)))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232" operator="containsText" text="Pagada" id="{502D6CE4-D898-47CA-9578-D9D70F258D2E}">
            <xm:f>NOT(ISERROR(SEARCH("Pagada",OIL!E5)))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233" operator="containsText" text="Pendiente" id="{E3D3087A-15BB-4B34-BFB5-2CA47FFAC5C9}">
            <xm:f>NOT(ISERROR(SEARCH("Pendiente",OIL!E5)))</xm:f>
            <x14:dxf>
              <fill>
                <patternFill>
                  <bgColor rgb="FFFF5050"/>
                </patternFill>
              </fill>
            </x14:dxf>
          </x14:cfRule>
          <x14:cfRule type="containsText" priority="235" operator="containsText" text="Facturado" id="{B67D1C1C-00AB-47E8-975F-0825EFFB05EC}">
            <xm:f>NOT(ISERROR(SEARCH("Facturado",OIL!E5)))</xm:f>
            <x14:dxf>
              <fill>
                <patternFill>
                  <bgColor theme="3" tint="0.39994506668294322"/>
                </patternFill>
              </fill>
            </x14:dxf>
          </x14:cfRule>
          <xm:sqref>E3 E24:E53</xm:sqref>
        </x14:conditionalFormatting>
        <x14:conditionalFormatting xmlns:xm="http://schemas.microsoft.com/office/excel/2006/main">
          <x14:cfRule type="containsText" priority="247" operator="containsText" text="Vencida" id="{89A98E3A-09C3-4C2F-935E-1220FC38D9D2}">
            <xm:f>NOT(ISERROR(SEARCH("Vencida",OIL!E16)))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248" operator="containsText" text="Pagada" id="{502D6CE4-D898-47CA-9578-D9D70F258D2E}">
            <xm:f>NOT(ISERROR(SEARCH("Pagada",OIL!E16)))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249" operator="containsText" text="Pendiente" id="{E3D3087A-15BB-4B34-BFB5-2CA47FFAC5C9}">
            <xm:f>NOT(ISERROR(SEARCH("Pendiente",OIL!E16)))</xm:f>
            <x14:dxf>
              <fill>
                <patternFill>
                  <bgColor rgb="FFFF5050"/>
                </patternFill>
              </fill>
            </x14:dxf>
          </x14:cfRule>
          <x14:cfRule type="containsText" priority="250" operator="containsText" text="Facturado" id="{B67D1C1C-00AB-47E8-975F-0825EFFB05EC}">
            <xm:f>NOT(ISERROR(SEARCH("Facturado",OIL!E16)))</xm:f>
            <x14:dxf>
              <fill>
                <patternFill>
                  <bgColor theme="3" tint="0.39994506668294322"/>
                </patternFill>
              </fill>
            </x14:dxf>
          </x14:cfRule>
          <xm:sqref>E13:E20</xm:sqref>
        </x14:conditionalFormatting>
        <x14:conditionalFormatting xmlns:xm="http://schemas.microsoft.com/office/excel/2006/main">
          <x14:cfRule type="containsText" priority="261" operator="containsText" text="Vencida" id="{89A98E3A-09C3-4C2F-935E-1220FC38D9D2}">
            <xm:f>NOT(ISERROR(SEARCH("Vencida",OIL!E9)))</xm:f>
            <x14:dxf>
              <fill>
                <patternFill>
                  <bgColor theme="7" tint="0.39994506668294322"/>
                </patternFill>
              </fill>
            </x14:dxf>
          </x14:cfRule>
          <x14:cfRule type="containsText" priority="262" operator="containsText" text="Pagada" id="{502D6CE4-D898-47CA-9578-D9D70F258D2E}">
            <xm:f>NOT(ISERROR(SEARCH("Pagada",OIL!E9)))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263" operator="containsText" text="Pendiente" id="{E3D3087A-15BB-4B34-BFB5-2CA47FFAC5C9}">
            <xm:f>NOT(ISERROR(SEARCH("Pendiente",OIL!E9)))</xm:f>
            <x14:dxf>
              <fill>
                <patternFill>
                  <bgColor rgb="FFFF5050"/>
                </patternFill>
              </fill>
            </x14:dxf>
          </x14:cfRule>
          <x14:cfRule type="containsText" priority="264" operator="containsText" text="Facturado" id="{B67D1C1C-00AB-47E8-975F-0825EFFB05EC}">
            <xm:f>NOT(ISERROR(SEARCH("Facturado",OIL!E9)))</xm:f>
            <x14:dxf>
              <fill>
                <patternFill>
                  <bgColor theme="3" tint="0.39994506668294322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"/>
  <sheetViews>
    <sheetView zoomScaleNormal="100" workbookViewId="0">
      <pane ySplit="2" topLeftCell="A3" activePane="bottomLeft" state="frozen"/>
      <selection pane="bottomLeft" activeCell="C17" sqref="C17"/>
    </sheetView>
  </sheetViews>
  <sheetFormatPr baseColWidth="10" defaultRowHeight="15" x14ac:dyDescent="0.25"/>
  <cols>
    <col min="1" max="1" width="18.5703125" customWidth="1"/>
    <col min="2" max="2" width="10" customWidth="1"/>
    <col min="3" max="3" width="16.5703125" customWidth="1"/>
    <col min="4" max="4" width="32" customWidth="1"/>
    <col min="5" max="5" width="11.42578125" customWidth="1"/>
    <col min="6" max="6" width="10.28515625" customWidth="1"/>
    <col min="12" max="12" width="14.5703125" customWidth="1"/>
    <col min="14" max="14" width="18.7109375" customWidth="1"/>
    <col min="15" max="15" width="11.42578125" customWidth="1"/>
    <col min="16" max="16" width="13.7109375" customWidth="1"/>
    <col min="17" max="17" width="15.42578125" customWidth="1"/>
    <col min="18" max="18" width="32.7109375" customWidth="1"/>
  </cols>
  <sheetData>
    <row r="1" spans="1:16" ht="19.5" thickBot="1" x14ac:dyDescent="0.35">
      <c r="A1" s="154" t="s">
        <v>130</v>
      </c>
      <c r="B1" s="154"/>
      <c r="C1" s="154"/>
      <c r="D1" s="154"/>
      <c r="E1" s="31"/>
      <c r="F1" s="31"/>
      <c r="G1" s="31"/>
      <c r="H1" s="19"/>
      <c r="I1" s="19"/>
      <c r="J1" s="19"/>
      <c r="K1" s="19"/>
      <c r="L1" s="19"/>
    </row>
    <row r="2" spans="1:16" ht="34.5" thickBot="1" x14ac:dyDescent="0.3">
      <c r="A2" s="55" t="s">
        <v>4</v>
      </c>
      <c r="B2" s="1" t="s">
        <v>0</v>
      </c>
      <c r="C2" s="2" t="s">
        <v>9</v>
      </c>
      <c r="D2" s="2" t="s">
        <v>1</v>
      </c>
      <c r="E2" s="3" t="s">
        <v>5</v>
      </c>
      <c r="F2" s="4" t="s">
        <v>6</v>
      </c>
      <c r="G2" s="6" t="s">
        <v>2</v>
      </c>
      <c r="H2" s="6" t="s">
        <v>7</v>
      </c>
      <c r="I2" s="6" t="s">
        <v>57</v>
      </c>
      <c r="J2" s="13" t="s">
        <v>13</v>
      </c>
      <c r="K2" s="7" t="s">
        <v>3</v>
      </c>
      <c r="L2" s="7" t="s">
        <v>46</v>
      </c>
      <c r="N2" s="9">
        <f>SUM(G:G)</f>
        <v>0</v>
      </c>
      <c r="P2" s="11">
        <f>COUNTA(A3:A438)</f>
        <v>0</v>
      </c>
    </row>
    <row r="3" spans="1:16" x14ac:dyDescent="0.25">
      <c r="C3" s="10"/>
      <c r="E3" s="33"/>
      <c r="F3" s="33"/>
      <c r="G3" s="114"/>
      <c r="H3" s="8"/>
      <c r="I3" s="8"/>
      <c r="J3" s="8"/>
      <c r="K3" s="8"/>
      <c r="L3" s="8"/>
      <c r="M3" s="15" t="s">
        <v>14</v>
      </c>
      <c r="N3" s="9" t="s">
        <v>44</v>
      </c>
      <c r="O3" s="15" t="s">
        <v>14</v>
      </c>
      <c r="P3" s="11" t="s">
        <v>51</v>
      </c>
    </row>
    <row r="4" spans="1:16" x14ac:dyDescent="0.25">
      <c r="C4" s="10"/>
      <c r="E4" s="33"/>
      <c r="F4" s="33"/>
      <c r="G4" s="114"/>
      <c r="H4" s="8"/>
      <c r="I4" s="8"/>
      <c r="J4" s="8"/>
      <c r="K4" s="8"/>
      <c r="L4" s="8"/>
      <c r="M4" s="10" t="s">
        <v>221</v>
      </c>
      <c r="N4" s="12">
        <f>SUMIF(B:B,"abbott",G:G)</f>
        <v>0</v>
      </c>
      <c r="O4" s="10" t="s">
        <v>206</v>
      </c>
      <c r="P4">
        <f>COUNTIF(B:B,"copeinca")</f>
        <v>0</v>
      </c>
    </row>
    <row r="5" spans="1:16" x14ac:dyDescent="0.25">
      <c r="C5" s="10"/>
      <c r="E5" s="33"/>
      <c r="F5" s="33"/>
      <c r="G5" s="114"/>
      <c r="H5" s="8"/>
      <c r="I5" s="8"/>
      <c r="J5" s="8"/>
      <c r="K5" s="8"/>
      <c r="M5" s="10" t="s">
        <v>206</v>
      </c>
      <c r="N5" s="12">
        <f>SUMIF(B:B,"copeinca",G:G)</f>
        <v>0</v>
      </c>
      <c r="O5" s="10" t="s">
        <v>89</v>
      </c>
      <c r="P5">
        <f>COUNTIF(B:B,"savia")</f>
        <v>0</v>
      </c>
    </row>
    <row r="6" spans="1:16" x14ac:dyDescent="0.25">
      <c r="C6" s="10"/>
      <c r="E6" s="33"/>
      <c r="F6" s="33"/>
      <c r="G6" s="135"/>
      <c r="H6" s="8"/>
      <c r="I6" s="8"/>
      <c r="J6" s="8"/>
      <c r="K6" s="8"/>
      <c r="L6" s="8"/>
      <c r="M6" s="10" t="s">
        <v>89</v>
      </c>
      <c r="N6" s="12">
        <f>SUMIF(B:B,"Savia",G:G)</f>
        <v>0</v>
      </c>
      <c r="O6" s="10" t="s">
        <v>217</v>
      </c>
      <c r="P6">
        <f>COUNTIF(B:B,"apm terminals")</f>
        <v>0</v>
      </c>
    </row>
    <row r="7" spans="1:16" x14ac:dyDescent="0.25">
      <c r="C7" s="10"/>
      <c r="E7" s="33"/>
      <c r="F7" s="33"/>
      <c r="G7" s="114"/>
      <c r="H7" s="8"/>
      <c r="I7" s="8"/>
      <c r="J7" s="8"/>
      <c r="K7" s="8"/>
      <c r="L7" s="8"/>
      <c r="M7" s="10" t="s">
        <v>56</v>
      </c>
      <c r="N7" s="12">
        <f>SUMIF(B:B,"Mondelez",G:G)</f>
        <v>0</v>
      </c>
      <c r="O7" s="10" t="s">
        <v>56</v>
      </c>
      <c r="P7">
        <f>COUNTIF(B:B,"Mondelez")</f>
        <v>0</v>
      </c>
    </row>
    <row r="8" spans="1:16" ht="14.25" customHeight="1" x14ac:dyDescent="0.25">
      <c r="C8" s="10"/>
      <c r="E8" s="33"/>
      <c r="F8" s="33"/>
      <c r="G8" s="114"/>
      <c r="H8" s="8"/>
      <c r="I8" s="8"/>
      <c r="J8" s="8"/>
      <c r="K8" s="8"/>
      <c r="L8" s="8"/>
      <c r="M8" s="10" t="s">
        <v>197</v>
      </c>
      <c r="N8" s="12">
        <f>SUMIF(B:B,"forsac",G:G)</f>
        <v>0</v>
      </c>
      <c r="O8" s="10" t="s">
        <v>138</v>
      </c>
      <c r="P8">
        <f>COUNTIF(B:B,"nexa")</f>
        <v>0</v>
      </c>
    </row>
    <row r="9" spans="1:16" x14ac:dyDescent="0.25">
      <c r="C9" s="10"/>
      <c r="E9" s="33"/>
      <c r="F9" s="33"/>
      <c r="G9" s="114"/>
      <c r="H9" s="8"/>
      <c r="I9" s="8"/>
      <c r="J9" s="8"/>
      <c r="K9" s="8"/>
      <c r="L9" s="8"/>
      <c r="M9" s="10" t="s">
        <v>138</v>
      </c>
      <c r="N9" s="12">
        <f>SUMIF(B:B,"nexa",G:G)</f>
        <v>0</v>
      </c>
      <c r="O9" s="10" t="s">
        <v>197</v>
      </c>
      <c r="P9">
        <f>COUNTIF(B:B,"forsac")</f>
        <v>0</v>
      </c>
    </row>
    <row r="10" spans="1:16" x14ac:dyDescent="0.25">
      <c r="C10" s="10"/>
      <c r="E10" s="33"/>
      <c r="F10" s="33"/>
      <c r="G10" s="114"/>
      <c r="H10" s="8"/>
      <c r="I10" s="8"/>
      <c r="J10" s="8"/>
      <c r="K10" s="8"/>
      <c r="L10" s="8"/>
      <c r="M10" s="10" t="s">
        <v>191</v>
      </c>
      <c r="N10" s="12">
        <f>SUMIF(B:B,"solier&amp;palao",G:G)</f>
        <v>0</v>
      </c>
      <c r="O10" s="10" t="s">
        <v>123</v>
      </c>
      <c r="P10">
        <f>COUNTIF(B:B,"eternit")</f>
        <v>0</v>
      </c>
    </row>
    <row r="11" spans="1:16" x14ac:dyDescent="0.25">
      <c r="C11" s="10"/>
      <c r="E11" s="33"/>
      <c r="F11" s="33"/>
      <c r="G11" s="114"/>
      <c r="H11" s="8"/>
      <c r="I11" s="8"/>
      <c r="J11" s="8"/>
      <c r="K11" s="8"/>
      <c r="L11" s="8"/>
      <c r="M11" s="10" t="s">
        <v>123</v>
      </c>
      <c r="N11" s="12">
        <f>SUMIF(B:B,"eternit",G:G)</f>
        <v>0</v>
      </c>
      <c r="O11" s="10" t="s">
        <v>191</v>
      </c>
      <c r="P11">
        <f>COUNTIF(B:B,"solier&amp;palao")</f>
        <v>0</v>
      </c>
    </row>
    <row r="12" spans="1:16" x14ac:dyDescent="0.25">
      <c r="C12" s="10"/>
      <c r="E12" s="33"/>
      <c r="F12" s="33"/>
      <c r="G12" s="114"/>
      <c r="H12" s="8"/>
      <c r="I12" s="8"/>
      <c r="J12" s="8"/>
      <c r="K12" s="8"/>
      <c r="L12" s="8"/>
    </row>
    <row r="13" spans="1:16" x14ac:dyDescent="0.25">
      <c r="C13" s="10"/>
      <c r="E13" s="33"/>
      <c r="F13" s="33"/>
      <c r="G13" s="114"/>
      <c r="H13" s="8"/>
      <c r="I13" s="8"/>
      <c r="J13" s="8"/>
      <c r="K13" s="8"/>
      <c r="L13" s="8"/>
      <c r="M13" s="15" t="s">
        <v>16</v>
      </c>
      <c r="N13" s="9">
        <f>SUM(N4:N12)</f>
        <v>0</v>
      </c>
      <c r="P13" s="11">
        <f>SUM(P4:P12)</f>
        <v>0</v>
      </c>
    </row>
    <row r="14" spans="1:16" x14ac:dyDescent="0.25">
      <c r="C14" s="10"/>
      <c r="E14" s="33"/>
      <c r="F14" s="33"/>
      <c r="G14" s="114"/>
      <c r="H14" s="8"/>
      <c r="I14" s="8"/>
      <c r="J14" s="8"/>
      <c r="K14" s="8"/>
      <c r="L14" s="8"/>
    </row>
    <row r="15" spans="1:16" x14ac:dyDescent="0.25">
      <c r="C15" s="10"/>
      <c r="E15" s="33"/>
      <c r="F15" s="33"/>
      <c r="G15" s="114"/>
      <c r="H15" s="8"/>
      <c r="I15" s="8"/>
      <c r="J15" s="8"/>
      <c r="K15" s="8"/>
      <c r="L15" s="8"/>
      <c r="N15" t="s">
        <v>45</v>
      </c>
      <c r="O15" t="s">
        <v>44</v>
      </c>
      <c r="P15" s="8"/>
    </row>
    <row r="16" spans="1:16" x14ac:dyDescent="0.25">
      <c r="C16" s="10"/>
      <c r="E16" s="33"/>
      <c r="F16" s="33"/>
      <c r="G16" s="114"/>
      <c r="H16" s="8"/>
      <c r="I16" s="8"/>
      <c r="J16" s="8"/>
      <c r="K16" s="8"/>
      <c r="L16" s="8"/>
      <c r="N16" s="9" t="s">
        <v>41</v>
      </c>
      <c r="O16" s="9">
        <f>SUM(H:H)</f>
        <v>0</v>
      </c>
    </row>
    <row r="17" spans="3:18" x14ac:dyDescent="0.25">
      <c r="C17" s="10"/>
      <c r="E17" s="33"/>
      <c r="F17" s="33"/>
      <c r="G17" s="114"/>
      <c r="H17" s="8"/>
      <c r="I17" s="8"/>
      <c r="J17" s="8"/>
      <c r="K17" s="8"/>
      <c r="L17" s="8"/>
      <c r="N17" s="11" t="s">
        <v>57</v>
      </c>
      <c r="O17" s="9">
        <f>SUM(I:I)</f>
        <v>0</v>
      </c>
    </row>
    <row r="18" spans="3:18" x14ac:dyDescent="0.25">
      <c r="C18" s="10"/>
      <c r="E18" s="33"/>
      <c r="F18" s="33"/>
      <c r="G18" s="114"/>
      <c r="H18" s="8"/>
      <c r="I18" s="8"/>
      <c r="J18" s="8"/>
      <c r="K18" s="8"/>
      <c r="L18" s="8"/>
      <c r="N18" s="11" t="s">
        <v>42</v>
      </c>
      <c r="O18" s="9">
        <f>SUM(J:J)</f>
        <v>0</v>
      </c>
    </row>
    <row r="19" spans="3:18" x14ac:dyDescent="0.25">
      <c r="C19" s="10"/>
      <c r="E19" s="33"/>
      <c r="F19" s="33"/>
      <c r="G19" s="114"/>
      <c r="H19" s="8"/>
      <c r="I19" s="8"/>
      <c r="J19" s="8"/>
      <c r="K19" s="8"/>
      <c r="L19" s="8"/>
      <c r="N19" s="11" t="s">
        <v>43</v>
      </c>
      <c r="O19" s="9">
        <f>SUM(K:K)</f>
        <v>0</v>
      </c>
    </row>
    <row r="20" spans="3:18" x14ac:dyDescent="0.25">
      <c r="C20" s="10"/>
      <c r="E20" s="33"/>
      <c r="F20" s="33"/>
      <c r="G20" s="114"/>
      <c r="H20" s="8"/>
      <c r="I20" s="8"/>
      <c r="J20" s="8"/>
      <c r="K20" s="8"/>
      <c r="L20" s="8"/>
      <c r="O20" s="9">
        <f>SUM(O16:O19)</f>
        <v>0</v>
      </c>
    </row>
    <row r="21" spans="3:18" ht="15.75" thickBot="1" x14ac:dyDescent="0.3">
      <c r="C21" s="10"/>
      <c r="E21" s="33"/>
      <c r="F21" s="33"/>
      <c r="G21" s="114"/>
      <c r="H21" s="8"/>
      <c r="I21" s="8"/>
      <c r="J21" s="8"/>
      <c r="K21" s="8"/>
      <c r="L21" s="8"/>
    </row>
    <row r="22" spans="3:18" ht="18.75" x14ac:dyDescent="0.3">
      <c r="C22" s="10"/>
      <c r="E22" s="33"/>
      <c r="F22" s="33"/>
      <c r="G22" s="114"/>
      <c r="H22" s="8"/>
      <c r="I22" s="8"/>
      <c r="J22" s="8"/>
      <c r="K22" s="8"/>
      <c r="L22" s="8"/>
      <c r="N22" s="24" t="s">
        <v>67</v>
      </c>
      <c r="O22" s="25" t="e">
        <f>SUM(#REF!)</f>
        <v>#REF!</v>
      </c>
    </row>
    <row r="23" spans="3:18" ht="19.5" thickBot="1" x14ac:dyDescent="0.35">
      <c r="C23" s="10"/>
      <c r="E23" s="33"/>
      <c r="F23" s="33"/>
      <c r="G23" s="114"/>
      <c r="H23" s="8"/>
      <c r="I23" s="8"/>
      <c r="J23" s="8"/>
      <c r="K23" s="8"/>
      <c r="L23" s="8"/>
      <c r="N23" s="26" t="s">
        <v>55</v>
      </c>
      <c r="O23" s="27" t="e">
        <f>SUM(#REF!)</f>
        <v>#REF!</v>
      </c>
    </row>
    <row r="24" spans="3:18" ht="18.75" x14ac:dyDescent="0.3">
      <c r="C24" s="10"/>
      <c r="E24" s="33"/>
      <c r="F24" s="33"/>
      <c r="G24" s="114"/>
      <c r="H24" s="8"/>
      <c r="I24" s="8"/>
      <c r="J24" s="8"/>
      <c r="K24" s="8"/>
      <c r="L24" s="8"/>
      <c r="O24" s="28" t="e">
        <f>O22+O23</f>
        <v>#REF!</v>
      </c>
    </row>
    <row r="25" spans="3:18" ht="15.75" thickBot="1" x14ac:dyDescent="0.3">
      <c r="C25" s="10"/>
      <c r="E25" s="33"/>
      <c r="F25" s="33"/>
      <c r="G25" s="114"/>
      <c r="H25" s="8"/>
      <c r="I25" s="8"/>
      <c r="J25" s="8"/>
      <c r="K25" s="8"/>
      <c r="L25" s="8"/>
      <c r="O25" s="8"/>
    </row>
    <row r="26" spans="3:18" ht="19.5" thickBot="1" x14ac:dyDescent="0.35">
      <c r="C26" s="10"/>
      <c r="E26" s="33"/>
      <c r="F26" s="33"/>
      <c r="G26" s="114"/>
      <c r="H26" s="8"/>
      <c r="I26" s="8"/>
      <c r="J26" s="8"/>
      <c r="K26" s="8"/>
      <c r="L26" s="8"/>
      <c r="N26" s="37" t="s">
        <v>59</v>
      </c>
      <c r="O26" s="38"/>
    </row>
    <row r="27" spans="3:18" ht="15.75" thickBot="1" x14ac:dyDescent="0.3">
      <c r="C27" s="10"/>
      <c r="E27" s="33"/>
      <c r="F27" s="33"/>
      <c r="G27" s="114"/>
      <c r="H27" s="8"/>
      <c r="I27" s="8"/>
      <c r="J27" s="8"/>
      <c r="K27" s="8"/>
      <c r="L27" s="8"/>
    </row>
    <row r="28" spans="3:18" ht="21.75" thickBot="1" x14ac:dyDescent="0.4">
      <c r="C28" s="10"/>
      <c r="E28" s="33"/>
      <c r="F28" s="33"/>
      <c r="G28" s="114"/>
      <c r="H28" s="8"/>
      <c r="I28" s="8"/>
      <c r="J28" s="8"/>
      <c r="K28" s="8"/>
      <c r="L28" s="8"/>
      <c r="N28" s="34" t="s">
        <v>133</v>
      </c>
      <c r="O28" s="35">
        <f>O17+O19</f>
        <v>0</v>
      </c>
    </row>
    <row r="29" spans="3:18" x14ac:dyDescent="0.25">
      <c r="C29" s="10"/>
      <c r="E29" s="33"/>
      <c r="F29" s="33"/>
      <c r="G29" s="114"/>
      <c r="H29" s="8"/>
      <c r="I29" s="8"/>
      <c r="J29" s="8"/>
      <c r="K29" s="8"/>
      <c r="N29" s="36">
        <f ca="1">NOW()</f>
        <v>46237.384116435183</v>
      </c>
    </row>
    <row r="30" spans="3:18" x14ac:dyDescent="0.25">
      <c r="C30" s="10"/>
      <c r="E30" s="33"/>
      <c r="F30" s="33"/>
      <c r="G30" s="114"/>
      <c r="H30" s="8"/>
      <c r="I30" s="8"/>
      <c r="J30" s="8"/>
      <c r="K30" s="8"/>
    </row>
    <row r="31" spans="3:18" ht="26.25" customHeight="1" x14ac:dyDescent="0.3">
      <c r="C31" s="10"/>
      <c r="E31" s="33"/>
      <c r="F31" s="33"/>
      <c r="G31" s="114"/>
      <c r="H31" s="8"/>
      <c r="I31" s="8"/>
      <c r="J31" s="8"/>
      <c r="K31" s="8"/>
      <c r="N31" s="158" t="s">
        <v>60</v>
      </c>
      <c r="O31" s="158"/>
      <c r="P31" s="158"/>
      <c r="Q31" s="158"/>
      <c r="R31" s="158"/>
    </row>
    <row r="32" spans="3:18" ht="19.5" customHeight="1" x14ac:dyDescent="0.3">
      <c r="C32" s="10"/>
      <c r="E32" s="33"/>
      <c r="F32" s="33"/>
      <c r="G32" s="114"/>
      <c r="H32" s="8"/>
      <c r="I32" s="8"/>
      <c r="J32" s="8"/>
      <c r="K32" s="8"/>
      <c r="N32" s="65" t="s">
        <v>61</v>
      </c>
      <c r="O32" s="65" t="s">
        <v>62</v>
      </c>
      <c r="P32" s="65" t="s">
        <v>8</v>
      </c>
      <c r="Q32" s="65" t="s">
        <v>106</v>
      </c>
      <c r="R32" s="66" t="s">
        <v>107</v>
      </c>
    </row>
    <row r="33" spans="3:18" x14ac:dyDescent="0.25">
      <c r="C33" s="10"/>
      <c r="E33" s="33"/>
      <c r="F33" s="33"/>
      <c r="G33" s="114"/>
      <c r="H33" s="8"/>
      <c r="I33" s="8"/>
      <c r="J33" s="8"/>
      <c r="K33" s="8"/>
      <c r="N33" s="59"/>
      <c r="O33" s="59"/>
      <c r="P33" s="50"/>
      <c r="Q33" s="71"/>
      <c r="R33" s="71" t="s">
        <v>108</v>
      </c>
    </row>
    <row r="34" spans="3:18" x14ac:dyDescent="0.25">
      <c r="C34" s="10"/>
      <c r="E34" s="33"/>
      <c r="F34" s="33"/>
      <c r="G34" s="114"/>
      <c r="H34" s="8"/>
      <c r="I34" s="8"/>
      <c r="J34" s="8"/>
      <c r="K34" s="8"/>
      <c r="N34" s="59"/>
      <c r="O34" s="59"/>
      <c r="P34" s="50"/>
      <c r="Q34" s="59"/>
      <c r="R34" s="59" t="s">
        <v>108</v>
      </c>
    </row>
    <row r="35" spans="3:18" x14ac:dyDescent="0.25">
      <c r="C35" s="10"/>
      <c r="E35" s="33"/>
      <c r="F35" s="33"/>
      <c r="G35" s="114"/>
      <c r="H35" s="8"/>
      <c r="I35" s="8"/>
      <c r="J35" s="8"/>
      <c r="K35" s="8"/>
      <c r="N35" s="59"/>
      <c r="O35" s="59"/>
      <c r="P35" s="50"/>
      <c r="Q35" s="59"/>
      <c r="R35" s="59" t="s">
        <v>108</v>
      </c>
    </row>
    <row r="36" spans="3:18" x14ac:dyDescent="0.25">
      <c r="C36" s="10"/>
      <c r="E36" s="33"/>
      <c r="F36" s="33"/>
      <c r="G36" s="114"/>
      <c r="H36" s="8"/>
      <c r="I36" s="8"/>
      <c r="J36" s="8"/>
      <c r="K36" s="8"/>
      <c r="N36" s="59"/>
      <c r="O36" s="59"/>
      <c r="P36" s="50"/>
      <c r="Q36" s="59"/>
      <c r="R36" s="59" t="s">
        <v>108</v>
      </c>
    </row>
    <row r="37" spans="3:18" x14ac:dyDescent="0.25">
      <c r="C37" s="10"/>
      <c r="E37" s="33"/>
      <c r="F37" s="33"/>
      <c r="G37" s="114"/>
      <c r="H37" s="8"/>
      <c r="I37" s="8"/>
      <c r="J37" s="8"/>
      <c r="K37" s="8"/>
      <c r="N37" s="68"/>
      <c r="O37" s="68"/>
      <c r="P37" s="69"/>
      <c r="Q37" s="68"/>
      <c r="R37" s="68" t="s">
        <v>108</v>
      </c>
    </row>
    <row r="38" spans="3:18" x14ac:dyDescent="0.25">
      <c r="C38" s="10"/>
      <c r="E38" s="33"/>
      <c r="F38" s="33"/>
      <c r="G38" s="114"/>
      <c r="H38" s="8"/>
      <c r="I38" s="8"/>
      <c r="J38" s="8"/>
      <c r="K38" s="8"/>
      <c r="N38" s="59"/>
      <c r="O38" s="59"/>
      <c r="P38" s="50"/>
      <c r="Q38" s="59"/>
      <c r="R38" s="59" t="s">
        <v>108</v>
      </c>
    </row>
    <row r="39" spans="3:18" x14ac:dyDescent="0.25">
      <c r="C39" s="10"/>
      <c r="E39" s="33"/>
      <c r="F39" s="33"/>
      <c r="G39" s="114"/>
      <c r="H39" s="8"/>
      <c r="I39" s="8"/>
      <c r="J39" s="8"/>
      <c r="K39" s="8"/>
      <c r="N39" s="59"/>
      <c r="O39" s="59"/>
      <c r="P39" s="50"/>
      <c r="Q39" s="59"/>
      <c r="R39" s="59" t="s">
        <v>108</v>
      </c>
    </row>
    <row r="40" spans="3:18" x14ac:dyDescent="0.25">
      <c r="C40" s="10"/>
      <c r="E40" s="33"/>
      <c r="F40" s="33"/>
      <c r="G40" s="114"/>
      <c r="H40" s="8"/>
      <c r="I40" s="8"/>
      <c r="J40" s="8"/>
      <c r="K40" s="8"/>
      <c r="N40" s="59"/>
      <c r="O40" s="67"/>
      <c r="P40" s="50"/>
      <c r="Q40" s="59"/>
      <c r="R40" s="59" t="s">
        <v>108</v>
      </c>
    </row>
    <row r="41" spans="3:18" x14ac:dyDescent="0.25">
      <c r="C41" s="10"/>
      <c r="E41" s="33"/>
      <c r="F41" s="33"/>
      <c r="G41" s="114"/>
      <c r="H41" s="8"/>
      <c r="I41" s="8"/>
      <c r="J41" s="8"/>
      <c r="K41" s="8"/>
      <c r="N41" s="59"/>
      <c r="O41" s="67"/>
      <c r="P41" s="50"/>
      <c r="Q41" s="59"/>
      <c r="R41" s="59" t="s">
        <v>108</v>
      </c>
    </row>
    <row r="42" spans="3:18" x14ac:dyDescent="0.25">
      <c r="C42" s="10"/>
      <c r="E42" s="33"/>
      <c r="F42" s="33"/>
      <c r="G42" s="114"/>
      <c r="H42" s="8"/>
      <c r="I42" s="8"/>
      <c r="J42" s="8"/>
      <c r="K42" s="8"/>
      <c r="N42" s="59"/>
      <c r="O42" s="67"/>
      <c r="P42" s="50"/>
      <c r="Q42" s="59"/>
      <c r="R42" s="59"/>
    </row>
    <row r="43" spans="3:18" x14ac:dyDescent="0.25">
      <c r="C43" s="10"/>
      <c r="E43" s="33"/>
      <c r="F43" s="33"/>
      <c r="G43" s="114"/>
      <c r="H43" s="8"/>
      <c r="I43" s="8"/>
      <c r="J43" s="8"/>
      <c r="K43" s="8"/>
      <c r="N43" s="59"/>
      <c r="O43" s="67"/>
      <c r="P43" s="50"/>
      <c r="Q43" s="59"/>
      <c r="R43" s="59"/>
    </row>
    <row r="44" spans="3:18" x14ac:dyDescent="0.25">
      <c r="C44" s="10"/>
      <c r="E44" s="33"/>
      <c r="F44" s="33"/>
      <c r="G44" s="114"/>
      <c r="H44" s="8"/>
      <c r="I44" s="8"/>
      <c r="J44" s="8"/>
      <c r="K44" s="8"/>
      <c r="N44" s="59"/>
      <c r="O44" s="67"/>
      <c r="P44" s="50"/>
      <c r="Q44" s="59"/>
      <c r="R44" s="59"/>
    </row>
    <row r="45" spans="3:18" x14ac:dyDescent="0.25">
      <c r="C45" s="10"/>
      <c r="E45" s="33"/>
      <c r="F45" s="33"/>
      <c r="G45" s="114"/>
      <c r="H45" s="8"/>
      <c r="I45" s="8"/>
      <c r="J45" s="8"/>
      <c r="K45" s="8"/>
      <c r="N45" s="59"/>
      <c r="O45" s="67"/>
      <c r="P45" s="50"/>
      <c r="Q45" s="59"/>
      <c r="R45" s="59"/>
    </row>
    <row r="46" spans="3:18" x14ac:dyDescent="0.25">
      <c r="C46" s="10"/>
      <c r="E46" s="33"/>
      <c r="F46" s="33"/>
      <c r="G46" s="114"/>
      <c r="H46" s="8"/>
      <c r="I46" s="8"/>
      <c r="J46" s="8"/>
      <c r="K46" s="8"/>
      <c r="N46" s="59"/>
      <c r="O46" s="67"/>
      <c r="P46" s="50"/>
      <c r="Q46" s="59"/>
      <c r="R46" s="59"/>
    </row>
    <row r="47" spans="3:18" x14ac:dyDescent="0.25">
      <c r="C47" s="10"/>
      <c r="E47" s="33"/>
      <c r="F47" s="33"/>
      <c r="G47" s="114"/>
      <c r="H47" s="8"/>
      <c r="I47" s="8"/>
      <c r="J47" s="8"/>
      <c r="K47" s="8"/>
      <c r="N47" s="59"/>
      <c r="O47" s="67"/>
      <c r="P47" s="50"/>
      <c r="Q47" s="59"/>
      <c r="R47" s="59"/>
    </row>
    <row r="48" spans="3:18" x14ac:dyDescent="0.25">
      <c r="C48" s="10"/>
      <c r="E48" s="33"/>
      <c r="F48" s="33"/>
      <c r="G48" s="114"/>
      <c r="H48" s="8"/>
      <c r="I48" s="8"/>
      <c r="J48" s="8"/>
      <c r="K48" s="8"/>
      <c r="N48" s="59"/>
      <c r="O48" s="67"/>
      <c r="P48" s="50"/>
      <c r="Q48" s="59"/>
      <c r="R48" s="59"/>
    </row>
    <row r="49" spans="3:18" x14ac:dyDescent="0.25">
      <c r="C49" s="10"/>
      <c r="E49" s="33"/>
      <c r="F49" s="33"/>
      <c r="G49" s="114"/>
      <c r="H49" s="8"/>
      <c r="I49" s="8"/>
      <c r="J49" s="8"/>
      <c r="K49" s="8"/>
      <c r="N49" s="68"/>
      <c r="O49" s="70"/>
      <c r="P49" s="69"/>
      <c r="Q49" s="68"/>
      <c r="R49" s="68"/>
    </row>
    <row r="50" spans="3:18" x14ac:dyDescent="0.25">
      <c r="C50" s="10"/>
      <c r="E50" s="33"/>
      <c r="F50" s="33"/>
      <c r="G50" s="114"/>
      <c r="H50" s="8"/>
      <c r="I50" s="8"/>
      <c r="J50" s="8"/>
      <c r="K50" s="8"/>
      <c r="N50" s="59"/>
      <c r="O50" s="67"/>
      <c r="P50" s="50"/>
      <c r="Q50" s="59"/>
      <c r="R50" s="59"/>
    </row>
    <row r="51" spans="3:18" x14ac:dyDescent="0.25">
      <c r="C51" s="10"/>
      <c r="E51" s="33"/>
      <c r="F51" s="33"/>
      <c r="G51" s="114"/>
      <c r="H51" s="8"/>
      <c r="I51" s="8"/>
      <c r="J51" s="8"/>
      <c r="K51" s="8"/>
      <c r="N51" s="59"/>
      <c r="O51" s="67"/>
      <c r="P51" s="50"/>
      <c r="Q51" s="59"/>
      <c r="R51" s="59"/>
    </row>
    <row r="52" spans="3:18" x14ac:dyDescent="0.25">
      <c r="C52" s="10"/>
      <c r="E52" s="33"/>
      <c r="F52" s="33"/>
      <c r="G52" s="114"/>
      <c r="H52" s="8"/>
      <c r="I52" s="8"/>
      <c r="J52" s="8"/>
      <c r="K52" s="8"/>
      <c r="N52" s="59"/>
      <c r="O52" s="67"/>
      <c r="P52" s="50"/>
      <c r="Q52" s="59"/>
      <c r="R52" s="59"/>
    </row>
    <row r="53" spans="3:18" x14ac:dyDescent="0.25">
      <c r="C53" s="10"/>
      <c r="E53" s="33"/>
      <c r="F53" s="33"/>
      <c r="G53" s="114"/>
      <c r="H53" s="8"/>
      <c r="I53" s="8"/>
      <c r="J53" s="8"/>
      <c r="K53" s="8"/>
      <c r="N53" s="59"/>
      <c r="O53" s="67"/>
      <c r="P53" s="50"/>
      <c r="Q53" s="59"/>
      <c r="R53" s="59"/>
    </row>
    <row r="54" spans="3:18" x14ac:dyDescent="0.25">
      <c r="C54" s="10"/>
      <c r="E54" s="33"/>
      <c r="F54" s="33"/>
      <c r="G54" s="114"/>
      <c r="H54" s="8"/>
      <c r="I54" s="8"/>
      <c r="J54" s="8"/>
      <c r="K54" s="8"/>
      <c r="N54" s="68"/>
      <c r="O54" s="70"/>
      <c r="P54" s="69"/>
      <c r="Q54" s="68"/>
      <c r="R54" s="68"/>
    </row>
    <row r="55" spans="3:18" x14ac:dyDescent="0.25">
      <c r="C55" s="10"/>
      <c r="E55" s="33"/>
      <c r="F55" s="33"/>
      <c r="G55" s="114"/>
      <c r="H55" s="8"/>
      <c r="I55" s="8"/>
      <c r="J55" s="8"/>
      <c r="K55" s="8"/>
      <c r="N55" s="59"/>
      <c r="O55" s="67"/>
      <c r="P55" s="50"/>
      <c r="Q55" s="59"/>
      <c r="R55" s="59"/>
    </row>
    <row r="56" spans="3:18" x14ac:dyDescent="0.25">
      <c r="C56" s="10"/>
      <c r="E56" s="33"/>
      <c r="F56" s="33"/>
      <c r="G56" s="114"/>
      <c r="H56" s="8"/>
      <c r="I56" s="8"/>
      <c r="J56" s="8"/>
      <c r="K56" s="8"/>
      <c r="N56" s="59"/>
      <c r="O56" s="67"/>
      <c r="P56" s="50"/>
      <c r="Q56" s="59"/>
      <c r="R56" s="59"/>
    </row>
    <row r="57" spans="3:18" x14ac:dyDescent="0.25">
      <c r="C57" s="10"/>
      <c r="E57" s="33"/>
      <c r="F57" s="33"/>
      <c r="G57" s="114"/>
      <c r="H57" s="8"/>
      <c r="I57" s="8"/>
      <c r="J57" s="8"/>
      <c r="K57" s="8"/>
      <c r="N57" s="59"/>
      <c r="O57" s="67"/>
      <c r="P57" s="50"/>
      <c r="Q57" s="59"/>
      <c r="R57" s="59"/>
    </row>
    <row r="58" spans="3:18" x14ac:dyDescent="0.25">
      <c r="C58" s="10"/>
      <c r="E58" s="33"/>
      <c r="F58" s="33"/>
      <c r="G58" s="114"/>
      <c r="H58" s="8"/>
      <c r="I58" s="8"/>
      <c r="J58" s="8"/>
      <c r="K58" s="8"/>
      <c r="N58" s="59"/>
      <c r="O58" s="67"/>
      <c r="P58" s="50"/>
      <c r="Q58" s="59"/>
      <c r="R58" s="59"/>
    </row>
    <row r="59" spans="3:18" x14ac:dyDescent="0.25">
      <c r="C59" s="10"/>
      <c r="E59" s="33"/>
      <c r="F59" s="33"/>
      <c r="G59" s="114"/>
      <c r="H59" s="8"/>
      <c r="I59" s="8"/>
      <c r="J59" s="8"/>
      <c r="K59" s="8"/>
      <c r="N59" s="59"/>
      <c r="O59" s="67"/>
      <c r="P59" s="50"/>
      <c r="Q59" s="59"/>
      <c r="R59" s="59"/>
    </row>
    <row r="60" spans="3:18" x14ac:dyDescent="0.25">
      <c r="C60" s="10"/>
      <c r="E60" s="33"/>
      <c r="F60" s="33"/>
      <c r="G60" s="114"/>
      <c r="H60" s="8"/>
      <c r="I60" s="8"/>
      <c r="J60" s="8"/>
      <c r="K60" s="8"/>
      <c r="N60" s="71"/>
      <c r="O60" s="73"/>
      <c r="P60" s="72"/>
      <c r="Q60" s="71"/>
      <c r="R60" s="71"/>
    </row>
    <row r="61" spans="3:18" x14ac:dyDescent="0.25">
      <c r="C61" s="10"/>
      <c r="E61" s="33"/>
      <c r="F61" s="33"/>
      <c r="G61" s="114"/>
      <c r="H61" s="8"/>
      <c r="I61" s="8"/>
      <c r="J61" s="8"/>
      <c r="K61" s="8"/>
      <c r="N61" s="59"/>
      <c r="O61" s="67"/>
      <c r="P61" s="50"/>
      <c r="Q61" s="59"/>
      <c r="R61" s="59"/>
    </row>
    <row r="62" spans="3:18" x14ac:dyDescent="0.25">
      <c r="C62" s="10"/>
      <c r="E62" s="33"/>
      <c r="F62" s="33"/>
      <c r="G62" s="114"/>
      <c r="H62" s="8"/>
      <c r="I62" s="8"/>
      <c r="J62" s="8"/>
      <c r="K62" s="8"/>
      <c r="N62" s="59"/>
      <c r="O62" s="67"/>
      <c r="P62" s="50"/>
      <c r="Q62" s="59"/>
      <c r="R62" s="59"/>
    </row>
    <row r="63" spans="3:18" x14ac:dyDescent="0.25">
      <c r="C63" s="10"/>
      <c r="E63" s="33"/>
      <c r="F63" s="33"/>
      <c r="G63" s="114"/>
      <c r="H63" s="8"/>
      <c r="I63" s="8"/>
      <c r="J63" s="8"/>
      <c r="K63" s="8"/>
      <c r="N63" s="59"/>
      <c r="O63" s="67"/>
      <c r="P63" s="50"/>
      <c r="Q63" s="59"/>
      <c r="R63" s="59"/>
    </row>
    <row r="64" spans="3:18" x14ac:dyDescent="0.25">
      <c r="C64" s="10"/>
      <c r="E64" s="33"/>
      <c r="F64" s="33"/>
      <c r="G64" s="114"/>
      <c r="H64" s="8"/>
      <c r="I64" s="8"/>
      <c r="J64" s="8"/>
      <c r="K64" s="8"/>
      <c r="N64" s="74"/>
      <c r="O64" s="75"/>
      <c r="P64" s="76"/>
      <c r="Q64" s="74"/>
      <c r="R64" s="74"/>
    </row>
    <row r="65" spans="3:18" x14ac:dyDescent="0.25">
      <c r="C65" s="10"/>
      <c r="E65" s="33"/>
      <c r="F65" s="33"/>
      <c r="G65" s="114"/>
      <c r="H65" s="8"/>
      <c r="I65" s="8"/>
      <c r="J65" s="8"/>
      <c r="K65" s="8"/>
      <c r="N65" s="59"/>
      <c r="O65" s="67"/>
      <c r="P65" s="50"/>
      <c r="Q65" s="59"/>
      <c r="R65" s="59"/>
    </row>
    <row r="66" spans="3:18" x14ac:dyDescent="0.25">
      <c r="C66" s="10"/>
      <c r="E66" s="33"/>
      <c r="F66" s="33"/>
      <c r="G66" s="114"/>
      <c r="H66" s="8"/>
      <c r="I66" s="8"/>
      <c r="J66" s="8"/>
      <c r="K66" s="8"/>
      <c r="N66" s="77"/>
      <c r="O66" s="78"/>
      <c r="P66" s="79"/>
      <c r="Q66" s="77"/>
      <c r="R66" s="77"/>
    </row>
    <row r="67" spans="3:18" x14ac:dyDescent="0.25">
      <c r="C67" s="10"/>
      <c r="E67" s="33"/>
      <c r="F67" s="33"/>
      <c r="G67" s="114"/>
      <c r="H67" s="8"/>
      <c r="I67" s="8"/>
      <c r="J67" s="8"/>
      <c r="K67" s="8"/>
      <c r="N67" s="59"/>
      <c r="O67" s="67"/>
      <c r="P67" s="50"/>
      <c r="Q67" s="59"/>
      <c r="R67" s="59"/>
    </row>
    <row r="68" spans="3:18" x14ac:dyDescent="0.25">
      <c r="C68" s="10"/>
      <c r="E68" s="33"/>
      <c r="F68" s="33"/>
      <c r="G68" s="114"/>
      <c r="H68" s="8"/>
      <c r="I68" s="8"/>
      <c r="J68" s="8"/>
      <c r="K68" s="8"/>
      <c r="N68" s="59"/>
      <c r="O68" s="67"/>
      <c r="P68" s="50"/>
      <c r="Q68" s="59"/>
      <c r="R68" s="59"/>
    </row>
    <row r="69" spans="3:18" x14ac:dyDescent="0.25">
      <c r="C69" s="10"/>
      <c r="E69" s="33"/>
      <c r="F69" s="33"/>
      <c r="G69" s="114"/>
      <c r="H69" s="8"/>
      <c r="I69" s="8"/>
      <c r="J69" s="8"/>
      <c r="K69" s="8"/>
      <c r="N69" s="59"/>
      <c r="O69" s="59"/>
      <c r="P69" s="50"/>
      <c r="Q69" s="59"/>
      <c r="R69" s="59"/>
    </row>
    <row r="70" spans="3:18" x14ac:dyDescent="0.25">
      <c r="C70" s="10"/>
      <c r="E70" s="33"/>
      <c r="F70" s="33"/>
      <c r="G70" s="114"/>
      <c r="H70" s="8"/>
      <c r="I70" s="8"/>
      <c r="J70" s="8"/>
      <c r="K70" s="8"/>
      <c r="N70" s="59"/>
      <c r="O70" s="59"/>
      <c r="P70" s="50"/>
      <c r="Q70" s="59"/>
      <c r="R70" s="59"/>
    </row>
    <row r="71" spans="3:18" x14ac:dyDescent="0.25">
      <c r="C71" s="10"/>
      <c r="E71" s="33"/>
      <c r="F71" s="33"/>
      <c r="G71" s="114"/>
      <c r="H71" s="8"/>
      <c r="I71" s="8"/>
      <c r="J71" s="8"/>
      <c r="K71" s="8"/>
      <c r="N71" s="59"/>
      <c r="O71" s="67"/>
      <c r="P71" s="50"/>
      <c r="Q71" s="59"/>
      <c r="R71" s="59"/>
    </row>
    <row r="72" spans="3:18" x14ac:dyDescent="0.25">
      <c r="C72" s="10"/>
      <c r="E72" s="33"/>
      <c r="F72" s="33"/>
      <c r="G72" s="114"/>
      <c r="H72" s="8"/>
      <c r="I72" s="8"/>
      <c r="J72" s="8"/>
      <c r="K72" s="8"/>
      <c r="N72" s="59"/>
      <c r="O72" s="67"/>
      <c r="P72" s="50"/>
      <c r="Q72" s="59"/>
      <c r="R72" s="59"/>
    </row>
    <row r="73" spans="3:18" x14ac:dyDescent="0.25">
      <c r="C73" s="10"/>
      <c r="E73" s="33"/>
      <c r="F73" s="33"/>
      <c r="G73" s="114"/>
      <c r="H73" s="8"/>
      <c r="I73" s="8"/>
      <c r="J73" s="8"/>
      <c r="K73" s="8"/>
      <c r="N73" s="59"/>
      <c r="O73" s="67"/>
      <c r="P73" s="50"/>
      <c r="Q73" s="59"/>
      <c r="R73" s="59"/>
    </row>
    <row r="74" spans="3:18" x14ac:dyDescent="0.25">
      <c r="C74" s="10"/>
      <c r="E74" s="33"/>
      <c r="F74" s="33"/>
      <c r="G74" s="114"/>
      <c r="H74" s="8"/>
      <c r="I74" s="8"/>
      <c r="J74" s="8"/>
      <c r="K74" s="8"/>
      <c r="N74" s="59"/>
      <c r="O74" s="67"/>
      <c r="P74" s="50"/>
      <c r="Q74" s="59"/>
      <c r="R74" s="59"/>
    </row>
    <row r="75" spans="3:18" x14ac:dyDescent="0.25">
      <c r="C75" s="10"/>
      <c r="E75" s="33"/>
      <c r="F75" s="33"/>
      <c r="G75" s="114"/>
      <c r="H75" s="8"/>
      <c r="I75" s="8"/>
      <c r="J75" s="8"/>
      <c r="K75" s="8"/>
      <c r="N75" s="59"/>
      <c r="O75" s="67"/>
      <c r="P75" s="50"/>
      <c r="Q75" s="59"/>
      <c r="R75" s="59"/>
    </row>
    <row r="76" spans="3:18" x14ac:dyDescent="0.25">
      <c r="C76" s="10"/>
      <c r="E76" s="33"/>
      <c r="F76" s="33"/>
      <c r="G76" s="114"/>
      <c r="H76" s="8"/>
      <c r="I76" s="8"/>
      <c r="J76" s="8"/>
      <c r="K76" s="8"/>
      <c r="N76" s="59"/>
      <c r="O76" s="67"/>
      <c r="P76" s="50"/>
      <c r="Q76" s="59"/>
      <c r="R76" s="59"/>
    </row>
    <row r="77" spans="3:18" x14ac:dyDescent="0.25">
      <c r="C77" s="10"/>
      <c r="E77" s="33"/>
      <c r="F77" s="33"/>
      <c r="G77" s="114"/>
      <c r="H77" s="8"/>
      <c r="I77" s="8"/>
      <c r="J77" s="8"/>
      <c r="K77" s="8"/>
      <c r="N77" s="59"/>
      <c r="O77" s="67"/>
      <c r="P77" s="50"/>
      <c r="Q77" s="59"/>
      <c r="R77" s="59"/>
    </row>
    <row r="78" spans="3:18" x14ac:dyDescent="0.25">
      <c r="C78" s="10"/>
      <c r="E78" s="33"/>
      <c r="F78" s="33"/>
      <c r="G78" s="114"/>
      <c r="H78" s="8"/>
      <c r="I78" s="8"/>
      <c r="J78" s="8"/>
      <c r="K78" s="8"/>
      <c r="P78" s="9">
        <f>SUM(P33:P77)</f>
        <v>0</v>
      </c>
    </row>
  </sheetData>
  <autoFilter ref="N32:R71"/>
  <sortState ref="O4:P11">
    <sortCondition descending="1" ref="P4:P11"/>
  </sortState>
  <mergeCells count="2">
    <mergeCell ref="N31:R31"/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7"/>
  <sheetViews>
    <sheetView view="pageBreakPreview" topLeftCell="A260" zoomScaleNormal="100" zoomScaleSheetLayoutView="100" workbookViewId="0">
      <selection sqref="A1:C6"/>
    </sheetView>
  </sheetViews>
  <sheetFormatPr baseColWidth="10" defaultRowHeight="15" x14ac:dyDescent="0.25"/>
  <cols>
    <col min="1" max="1" width="9.140625" customWidth="1"/>
    <col min="2" max="2" width="20.7109375" customWidth="1"/>
    <col min="4" max="4" width="9.42578125" customWidth="1"/>
    <col min="6" max="6" width="15.42578125" customWidth="1"/>
    <col min="7" max="7" width="13.42578125" customWidth="1"/>
    <col min="8" max="8" width="14.140625" customWidth="1"/>
    <col min="9" max="9" width="13.85546875" customWidth="1"/>
    <col min="11" max="11" width="11.42578125" customWidth="1"/>
    <col min="12" max="12" width="15.42578125" customWidth="1"/>
  </cols>
  <sheetData>
    <row r="1" spans="1:12" x14ac:dyDescent="0.25">
      <c r="A1" s="62" t="s">
        <v>80</v>
      </c>
      <c r="B1" s="62" t="s">
        <v>81</v>
      </c>
      <c r="C1" s="62" t="s">
        <v>51</v>
      </c>
    </row>
    <row r="2" spans="1:12" x14ac:dyDescent="0.25">
      <c r="A2" s="59" t="s">
        <v>18</v>
      </c>
      <c r="B2" s="50">
        <f>IND!N2</f>
        <v>58230.19</v>
      </c>
      <c r="C2" s="59">
        <f>IND!Q2</f>
        <v>13</v>
      </c>
      <c r="E2" s="138" t="s">
        <v>75</v>
      </c>
      <c r="F2" s="138" t="s">
        <v>79</v>
      </c>
      <c r="G2" s="138" t="s">
        <v>148</v>
      </c>
      <c r="H2" s="138" t="s">
        <v>149</v>
      </c>
      <c r="I2" s="138" t="s">
        <v>51</v>
      </c>
      <c r="J2" s="18"/>
      <c r="K2" s="18"/>
    </row>
    <row r="3" spans="1:12" x14ac:dyDescent="0.25">
      <c r="A3" s="59" t="s">
        <v>19</v>
      </c>
      <c r="B3" s="50">
        <f>MIN!N2</f>
        <v>1144091.1100000001</v>
      </c>
      <c r="C3" s="59">
        <f>MIN!P2</f>
        <v>31</v>
      </c>
      <c r="E3" s="138">
        <v>2012</v>
      </c>
      <c r="F3" s="88">
        <v>856894.56</v>
      </c>
      <c r="G3" s="87">
        <v>0</v>
      </c>
      <c r="H3" s="88"/>
      <c r="I3" s="87">
        <v>132</v>
      </c>
      <c r="J3" s="18"/>
      <c r="L3" s="18"/>
    </row>
    <row r="4" spans="1:12" x14ac:dyDescent="0.25">
      <c r="A4" s="59" t="s">
        <v>20</v>
      </c>
      <c r="B4" s="50">
        <f>OIL!N2</f>
        <v>233638.8</v>
      </c>
      <c r="C4" s="59">
        <f>OIL!P2</f>
        <v>10</v>
      </c>
      <c r="E4" s="138">
        <v>2013</v>
      </c>
      <c r="F4" s="88">
        <v>1173006.51</v>
      </c>
      <c r="G4" s="87">
        <v>0</v>
      </c>
      <c r="H4" s="88"/>
      <c r="I4" s="87">
        <v>172</v>
      </c>
      <c r="J4" s="18"/>
    </row>
    <row r="5" spans="1:12" x14ac:dyDescent="0.25">
      <c r="A5" s="59" t="s">
        <v>131</v>
      </c>
      <c r="B5" s="50">
        <f>SFY!N2</f>
        <v>0</v>
      </c>
      <c r="C5" s="59">
        <f>SFY!P2</f>
        <v>0</v>
      </c>
      <c r="E5" s="138">
        <v>2014</v>
      </c>
      <c r="F5" s="88">
        <v>1469563.62</v>
      </c>
      <c r="G5" s="88">
        <v>766989.81530000002</v>
      </c>
      <c r="H5" s="88">
        <v>599213.68999999994</v>
      </c>
      <c r="I5" s="87">
        <v>198</v>
      </c>
      <c r="J5" s="18"/>
    </row>
    <row r="6" spans="1:12" x14ac:dyDescent="0.25">
      <c r="A6" s="61" t="s">
        <v>27</v>
      </c>
      <c r="B6" s="60">
        <f>SUM(B2:B5)</f>
        <v>1435960.1</v>
      </c>
      <c r="C6" s="61">
        <f>SUM(C2:C5)</f>
        <v>54</v>
      </c>
      <c r="D6" s="8"/>
      <c r="E6" s="138">
        <v>2015</v>
      </c>
      <c r="F6" s="88">
        <v>1886500.0299999996</v>
      </c>
      <c r="G6" s="88">
        <v>732610.42991158995</v>
      </c>
      <c r="H6" s="88">
        <v>791852.48</v>
      </c>
      <c r="I6" s="87">
        <v>281</v>
      </c>
    </row>
    <row r="7" spans="1:12" x14ac:dyDescent="0.25">
      <c r="B7" s="8"/>
      <c r="E7" s="138">
        <v>2016</v>
      </c>
      <c r="F7" s="88">
        <v>1143432.8700000001</v>
      </c>
      <c r="G7" s="88">
        <f>Objetivos!N4</f>
        <v>546600.85</v>
      </c>
      <c r="H7" s="88">
        <v>791852.48</v>
      </c>
      <c r="I7" s="87">
        <v>142</v>
      </c>
    </row>
    <row r="8" spans="1:12" x14ac:dyDescent="0.25">
      <c r="B8" s="29"/>
      <c r="C8" s="8"/>
      <c r="D8" s="8"/>
      <c r="E8" s="138">
        <v>2017</v>
      </c>
      <c r="F8" s="88">
        <v>1755581.87</v>
      </c>
      <c r="G8" s="88">
        <f>Objetivos!N5</f>
        <v>586456.22</v>
      </c>
      <c r="H8" s="88">
        <v>786394.2</v>
      </c>
      <c r="I8" s="87">
        <v>164</v>
      </c>
    </row>
    <row r="9" spans="1:12" x14ac:dyDescent="0.25">
      <c r="B9" s="150"/>
      <c r="C9" s="8"/>
      <c r="D9" s="8"/>
      <c r="E9" s="138">
        <v>2018</v>
      </c>
      <c r="F9" s="88">
        <v>2040281.02</v>
      </c>
      <c r="G9" s="88">
        <f>Objetivos!N6</f>
        <v>815521.11</v>
      </c>
      <c r="H9" s="88">
        <v>1015424.4099999999</v>
      </c>
      <c r="I9" s="87">
        <v>184</v>
      </c>
    </row>
    <row r="10" spans="1:12" x14ac:dyDescent="0.25">
      <c r="C10" s="8"/>
      <c r="D10" s="8"/>
      <c r="E10" s="138">
        <v>2019</v>
      </c>
      <c r="F10" s="88">
        <v>2650233.06</v>
      </c>
      <c r="G10" s="88">
        <v>706732.22</v>
      </c>
      <c r="H10" s="88">
        <v>1016302.22</v>
      </c>
      <c r="I10" s="87">
        <v>188</v>
      </c>
    </row>
    <row r="11" spans="1:12" x14ac:dyDescent="0.25">
      <c r="B11" s="29"/>
      <c r="C11" s="8"/>
      <c r="D11" s="8"/>
      <c r="E11" s="139">
        <v>2020</v>
      </c>
      <c r="F11" s="88">
        <v>1732121.3199999998</v>
      </c>
      <c r="G11" s="88">
        <v>820464.8899999999</v>
      </c>
      <c r="H11" s="88">
        <v>869409.41</v>
      </c>
      <c r="I11" s="87">
        <v>106</v>
      </c>
    </row>
    <row r="12" spans="1:12" x14ac:dyDescent="0.25">
      <c r="A12" s="29"/>
      <c r="B12" s="8"/>
      <c r="C12" s="8"/>
      <c r="D12" s="8"/>
      <c r="E12" s="138">
        <v>2021</v>
      </c>
      <c r="F12" s="88">
        <v>1434996.8800000004</v>
      </c>
      <c r="G12" s="88">
        <v>475934.45</v>
      </c>
      <c r="H12" s="88">
        <v>864817.23</v>
      </c>
      <c r="I12" s="87">
        <v>120</v>
      </c>
    </row>
    <row r="13" spans="1:12" x14ac:dyDescent="0.25">
      <c r="B13" s="29"/>
      <c r="C13" s="8"/>
      <c r="D13" s="8"/>
      <c r="E13" s="138">
        <v>2022</v>
      </c>
      <c r="F13" s="88">
        <v>1968764.0399999998</v>
      </c>
      <c r="G13" s="88">
        <v>764082.81000000017</v>
      </c>
      <c r="H13" s="88">
        <v>726996.85</v>
      </c>
      <c r="I13" s="87">
        <v>99</v>
      </c>
    </row>
    <row r="14" spans="1:12" x14ac:dyDescent="0.25">
      <c r="B14" s="29"/>
      <c r="C14" s="8"/>
      <c r="D14" s="8"/>
      <c r="E14" s="139">
        <v>2023</v>
      </c>
      <c r="F14" s="88">
        <v>1676545.3567999997</v>
      </c>
      <c r="G14" s="88">
        <v>832552.58679999993</v>
      </c>
      <c r="H14" s="88">
        <v>872396.23</v>
      </c>
      <c r="I14" s="87">
        <v>101</v>
      </c>
    </row>
    <row r="15" spans="1:12" x14ac:dyDescent="0.25">
      <c r="B15" s="29"/>
      <c r="C15" s="8"/>
      <c r="D15" s="8"/>
      <c r="E15" s="139">
        <v>2024</v>
      </c>
      <c r="F15" s="88">
        <v>1697269.3701333329</v>
      </c>
      <c r="G15" s="88">
        <v>865726.07680000016</v>
      </c>
      <c r="H15" s="88">
        <v>1046875.4759999999</v>
      </c>
      <c r="I15" s="87">
        <v>111</v>
      </c>
    </row>
    <row r="16" spans="1:12" x14ac:dyDescent="0.25">
      <c r="B16" s="29"/>
      <c r="C16" s="8"/>
      <c r="D16" s="8"/>
      <c r="E16" s="139">
        <v>2025</v>
      </c>
      <c r="F16" s="88">
        <v>1683041.98</v>
      </c>
      <c r="G16" s="88">
        <v>787520.06</v>
      </c>
      <c r="H16" s="88">
        <v>1046875.4759999999</v>
      </c>
      <c r="I16" s="87">
        <v>90</v>
      </c>
    </row>
    <row r="17" spans="2:9" x14ac:dyDescent="0.25">
      <c r="B17" s="29"/>
      <c r="C17" s="8"/>
      <c r="D17" s="8"/>
      <c r="E17" s="138">
        <v>2026</v>
      </c>
      <c r="F17" s="88">
        <f>B6</f>
        <v>1435960.1</v>
      </c>
      <c r="G17" s="88">
        <f>Objetivos!N14</f>
        <v>647191.24</v>
      </c>
      <c r="H17" s="88">
        <f>Objetivos!C6</f>
        <v>1165000</v>
      </c>
      <c r="I17" s="87">
        <f>C6</f>
        <v>54</v>
      </c>
    </row>
    <row r="18" spans="2:9" x14ac:dyDescent="0.25">
      <c r="B18" s="29"/>
      <c r="C18" s="8"/>
      <c r="D18" s="8"/>
      <c r="E18" s="11"/>
      <c r="F18" s="8"/>
      <c r="G18" s="8"/>
      <c r="H18" s="8"/>
    </row>
    <row r="19" spans="2:9" x14ac:dyDescent="0.25">
      <c r="B19" s="29"/>
      <c r="C19" s="8"/>
      <c r="D19" s="8"/>
      <c r="E19" s="11"/>
      <c r="F19" s="8"/>
      <c r="G19" s="8"/>
      <c r="H19" s="8"/>
    </row>
    <row r="20" spans="2:9" x14ac:dyDescent="0.25">
      <c r="B20" s="29"/>
      <c r="C20" s="8"/>
      <c r="D20" s="8"/>
      <c r="E20" s="11"/>
      <c r="F20" s="8"/>
      <c r="G20" s="8"/>
      <c r="H20" s="8"/>
    </row>
    <row r="21" spans="2:9" x14ac:dyDescent="0.25">
      <c r="B21" s="29"/>
      <c r="C21" s="8"/>
      <c r="D21" s="8"/>
      <c r="E21" s="11"/>
      <c r="F21" s="8"/>
      <c r="G21" s="8"/>
      <c r="H21" s="8"/>
    </row>
    <row r="22" spans="2:9" x14ac:dyDescent="0.25">
      <c r="B22" s="29"/>
      <c r="C22" s="8"/>
      <c r="D22" s="8"/>
      <c r="E22" s="11"/>
      <c r="F22" s="8"/>
      <c r="G22" s="8"/>
    </row>
    <row r="23" spans="2:9" x14ac:dyDescent="0.25">
      <c r="B23" s="29"/>
      <c r="C23" s="8"/>
      <c r="D23" s="8"/>
      <c r="E23" s="11"/>
      <c r="F23" s="8"/>
      <c r="G23" s="8"/>
    </row>
    <row r="24" spans="2:9" x14ac:dyDescent="0.25">
      <c r="B24" s="29"/>
      <c r="C24" s="8"/>
      <c r="D24" s="8"/>
      <c r="E24" s="11"/>
      <c r="F24" s="8"/>
      <c r="G24" s="8"/>
    </row>
    <row r="25" spans="2:9" x14ac:dyDescent="0.25">
      <c r="B25" s="29"/>
      <c r="C25" s="8"/>
      <c r="D25" s="8"/>
      <c r="E25" s="11"/>
      <c r="F25" s="8"/>
      <c r="G25" s="8"/>
    </row>
    <row r="26" spans="2:9" x14ac:dyDescent="0.25">
      <c r="B26" s="29"/>
      <c r="C26" s="8"/>
      <c r="D26" s="8"/>
      <c r="E26" s="11"/>
      <c r="F26" s="8"/>
      <c r="G26" s="8"/>
    </row>
    <row r="27" spans="2:9" x14ac:dyDescent="0.25">
      <c r="B27" s="29"/>
      <c r="C27" s="8"/>
      <c r="D27" s="8"/>
      <c r="E27" s="11"/>
      <c r="F27" s="8"/>
      <c r="G27" s="8"/>
    </row>
    <row r="28" spans="2:9" x14ac:dyDescent="0.25">
      <c r="B28" s="29"/>
      <c r="C28" s="8"/>
      <c r="D28" s="8"/>
      <c r="E28" s="11"/>
      <c r="F28" s="8"/>
      <c r="G28" s="8"/>
    </row>
    <row r="29" spans="2:9" x14ac:dyDescent="0.25">
      <c r="B29" s="29"/>
      <c r="C29" s="8"/>
      <c r="D29" s="8"/>
      <c r="E29" s="11"/>
      <c r="F29" s="8"/>
      <c r="G29" s="8"/>
    </row>
    <row r="30" spans="2:9" x14ac:dyDescent="0.25">
      <c r="B30" s="29"/>
      <c r="C30" s="8"/>
      <c r="D30" s="8"/>
      <c r="E30" s="11"/>
      <c r="F30" s="8"/>
      <c r="G30" s="8"/>
    </row>
    <row r="31" spans="2:9" x14ac:dyDescent="0.25">
      <c r="B31" s="29"/>
      <c r="C31" s="8"/>
      <c r="D31" s="8"/>
      <c r="E31" s="11"/>
      <c r="F31" s="8"/>
      <c r="G31" s="8"/>
    </row>
    <row r="32" spans="2:9" x14ac:dyDescent="0.25">
      <c r="B32" s="29"/>
      <c r="C32" s="8"/>
      <c r="D32" s="8"/>
      <c r="E32" s="11"/>
      <c r="F32" s="8"/>
      <c r="G32" s="8"/>
    </row>
    <row r="33" spans="1:14" x14ac:dyDescent="0.25">
      <c r="B33" s="29"/>
      <c r="C33" s="8"/>
      <c r="D33" s="8"/>
      <c r="E33" s="11"/>
      <c r="F33" s="8"/>
      <c r="G33" s="8"/>
    </row>
    <row r="34" spans="1:14" x14ac:dyDescent="0.25">
      <c r="B34" s="29"/>
      <c r="C34" s="8"/>
      <c r="D34" s="8"/>
      <c r="E34" s="11"/>
      <c r="F34" s="8"/>
      <c r="G34" s="8"/>
    </row>
    <row r="35" spans="1:14" x14ac:dyDescent="0.25">
      <c r="B35" s="29"/>
      <c r="C35" s="8"/>
      <c r="D35" s="8"/>
      <c r="E35" s="11"/>
      <c r="F35" s="8"/>
      <c r="G35" s="8"/>
    </row>
    <row r="36" spans="1:14" x14ac:dyDescent="0.25">
      <c r="B36" s="29"/>
      <c r="C36" s="8"/>
      <c r="D36" s="8"/>
      <c r="E36" s="11"/>
      <c r="F36" s="8"/>
      <c r="G36" s="8"/>
    </row>
    <row r="37" spans="1:14" x14ac:dyDescent="0.25">
      <c r="A37" s="11" t="s">
        <v>26</v>
      </c>
      <c r="D37" s="8"/>
      <c r="F37" s="8"/>
      <c r="G37" s="8"/>
    </row>
    <row r="38" spans="1:14" x14ac:dyDescent="0.25">
      <c r="A38" s="14" t="s">
        <v>75</v>
      </c>
      <c r="B38" s="14" t="s">
        <v>28</v>
      </c>
      <c r="C38" s="14" t="s">
        <v>29</v>
      </c>
      <c r="D38" s="14" t="s">
        <v>30</v>
      </c>
      <c r="E38" s="14" t="s">
        <v>31</v>
      </c>
      <c r="F38" s="14" t="s">
        <v>32</v>
      </c>
      <c r="G38" s="14" t="s">
        <v>33</v>
      </c>
      <c r="H38" s="14" t="s">
        <v>34</v>
      </c>
      <c r="I38" s="14" t="s">
        <v>35</v>
      </c>
      <c r="J38" s="14" t="s">
        <v>36</v>
      </c>
      <c r="K38" s="14" t="s">
        <v>37</v>
      </c>
      <c r="L38" s="14" t="s">
        <v>38</v>
      </c>
      <c r="M38" s="14" t="s">
        <v>39</v>
      </c>
      <c r="N38" s="14" t="s">
        <v>27</v>
      </c>
    </row>
    <row r="39" spans="1:14" x14ac:dyDescent="0.25">
      <c r="A39" s="11">
        <v>2011</v>
      </c>
      <c r="B39" s="18">
        <v>0</v>
      </c>
      <c r="C39" s="18">
        <v>0</v>
      </c>
      <c r="D39" s="18">
        <v>8081.84</v>
      </c>
      <c r="E39" s="18">
        <v>1225.4545454545455</v>
      </c>
      <c r="F39" s="18">
        <v>0</v>
      </c>
      <c r="G39" s="18">
        <v>1996</v>
      </c>
      <c r="H39" s="18">
        <v>840.55</v>
      </c>
      <c r="I39" s="18">
        <v>34797.82</v>
      </c>
      <c r="J39" s="18">
        <v>0</v>
      </c>
      <c r="K39" s="18">
        <v>111991.51</v>
      </c>
      <c r="L39" s="18">
        <v>6400</v>
      </c>
      <c r="M39" s="18">
        <v>9116.67</v>
      </c>
      <c r="N39" s="18">
        <f>SUM(B39:H39)</f>
        <v>12143.844545454545</v>
      </c>
    </row>
    <row r="40" spans="1:14" x14ac:dyDescent="0.25">
      <c r="A40" s="11">
        <v>2012</v>
      </c>
      <c r="B40" s="18">
        <v>288.75</v>
      </c>
      <c r="C40" s="18">
        <v>16966.009999999998</v>
      </c>
      <c r="D40" s="18">
        <v>11996.84</v>
      </c>
      <c r="E40" s="18">
        <v>10473.799999999999</v>
      </c>
      <c r="F40" s="18">
        <v>23696.62</v>
      </c>
      <c r="G40" s="18">
        <v>17358.2</v>
      </c>
      <c r="H40" s="18">
        <v>11531.73</v>
      </c>
      <c r="I40" s="18">
        <v>11142.81</v>
      </c>
      <c r="J40" s="18">
        <v>3372.72</v>
      </c>
      <c r="K40" s="18">
        <v>370.5</v>
      </c>
      <c r="L40" s="18">
        <v>38269.660000000003</v>
      </c>
      <c r="M40" s="18">
        <v>20800.84</v>
      </c>
      <c r="N40" s="18">
        <f t="shared" ref="N40:N54" si="0">SUM(B40:H40)</f>
        <v>92311.949999999983</v>
      </c>
    </row>
    <row r="41" spans="1:14" x14ac:dyDescent="0.25">
      <c r="A41" s="11">
        <v>2013</v>
      </c>
      <c r="B41" s="18">
        <v>14551.34</v>
      </c>
      <c r="C41" s="18">
        <v>19427.05</v>
      </c>
      <c r="D41" s="18">
        <v>2262</v>
      </c>
      <c r="E41" s="18">
        <v>39092.379999999997</v>
      </c>
      <c r="F41" s="18">
        <v>31540.28</v>
      </c>
      <c r="G41" s="18">
        <v>19834.150000000001</v>
      </c>
      <c r="H41" s="18">
        <v>3903.08</v>
      </c>
      <c r="I41" s="18">
        <v>49596.05</v>
      </c>
      <c r="J41" s="18">
        <v>11850.33</v>
      </c>
      <c r="K41" s="18">
        <v>28657.57</v>
      </c>
      <c r="L41" s="18">
        <v>34503.31</v>
      </c>
      <c r="M41" s="18">
        <v>0</v>
      </c>
      <c r="N41" s="18">
        <f t="shared" si="0"/>
        <v>130610.27999999998</v>
      </c>
    </row>
    <row r="42" spans="1:14" x14ac:dyDescent="0.25">
      <c r="A42" s="11">
        <v>2014</v>
      </c>
      <c r="B42" s="18">
        <v>35533.57</v>
      </c>
      <c r="C42" s="18">
        <v>3500</v>
      </c>
      <c r="D42" s="18">
        <v>13796</v>
      </c>
      <c r="E42" s="18">
        <v>6360</v>
      </c>
      <c r="F42" s="18">
        <v>34670</v>
      </c>
      <c r="G42" s="18">
        <v>20700</v>
      </c>
      <c r="H42" s="18">
        <v>27649.9</v>
      </c>
      <c r="I42" s="18">
        <v>12924.2</v>
      </c>
      <c r="J42" s="18">
        <v>71445.259999999995</v>
      </c>
      <c r="K42" s="18">
        <v>125296.03</v>
      </c>
      <c r="L42" s="18">
        <v>19935.009999999998</v>
      </c>
      <c r="M42" s="18">
        <v>19950</v>
      </c>
      <c r="N42" s="18">
        <f t="shared" si="0"/>
        <v>142209.47</v>
      </c>
    </row>
    <row r="43" spans="1:14" x14ac:dyDescent="0.25">
      <c r="A43" s="11">
        <v>2015</v>
      </c>
      <c r="B43" s="18">
        <v>350</v>
      </c>
      <c r="C43" s="18">
        <v>520</v>
      </c>
      <c r="D43" s="18">
        <v>48338.97</v>
      </c>
      <c r="E43" s="18">
        <v>1619.9</v>
      </c>
      <c r="F43" s="18">
        <v>400</v>
      </c>
      <c r="G43" s="18">
        <v>55726.74</v>
      </c>
      <c r="H43" s="18">
        <v>11186.8</v>
      </c>
      <c r="I43" s="18">
        <v>32656.2</v>
      </c>
      <c r="J43" s="18">
        <v>40006.199999999997</v>
      </c>
      <c r="K43" s="18">
        <v>7070.13</v>
      </c>
      <c r="L43" s="18">
        <v>12900</v>
      </c>
      <c r="M43" s="18">
        <v>59189</v>
      </c>
      <c r="N43" s="18">
        <f t="shared" si="0"/>
        <v>118142.41</v>
      </c>
    </row>
    <row r="44" spans="1:14" x14ac:dyDescent="0.25">
      <c r="A44" s="11">
        <v>2016</v>
      </c>
      <c r="B44" s="18">
        <v>72001.95</v>
      </c>
      <c r="C44" s="18">
        <v>91133.37</v>
      </c>
      <c r="D44" s="18">
        <v>28155.599999999999</v>
      </c>
      <c r="E44" s="18">
        <v>1222.5</v>
      </c>
      <c r="F44" s="18">
        <v>600</v>
      </c>
      <c r="G44" s="18">
        <v>3688.4</v>
      </c>
      <c r="H44" s="18">
        <v>28031.200000000001</v>
      </c>
      <c r="I44" s="18">
        <v>15845.01</v>
      </c>
      <c r="J44" s="18">
        <v>4185.51</v>
      </c>
      <c r="K44" s="18">
        <v>12128.1</v>
      </c>
      <c r="L44" s="18">
        <v>3607.08</v>
      </c>
      <c r="M44" s="18">
        <v>0</v>
      </c>
      <c r="N44" s="18">
        <f t="shared" si="0"/>
        <v>224833.02000000002</v>
      </c>
    </row>
    <row r="45" spans="1:14" x14ac:dyDescent="0.25">
      <c r="A45" s="11">
        <v>2017</v>
      </c>
      <c r="B45" s="18">
        <v>64761.73</v>
      </c>
      <c r="C45" s="18">
        <v>133870.17000000001</v>
      </c>
      <c r="D45" s="18">
        <v>24456.54</v>
      </c>
      <c r="E45" s="18">
        <v>1982</v>
      </c>
      <c r="F45" s="18">
        <v>41474</v>
      </c>
      <c r="G45" s="18">
        <v>5605.16</v>
      </c>
      <c r="H45" s="18">
        <v>154797.51</v>
      </c>
      <c r="I45" s="18">
        <v>147549.01</v>
      </c>
      <c r="J45" s="18">
        <v>8547.44</v>
      </c>
      <c r="K45" s="18">
        <v>2414.9299999999998</v>
      </c>
      <c r="L45" s="18">
        <v>65263.49</v>
      </c>
      <c r="M45" s="18">
        <v>4153.4399999999996</v>
      </c>
      <c r="N45" s="18">
        <f t="shared" si="0"/>
        <v>426947.11000000004</v>
      </c>
    </row>
    <row r="46" spans="1:14" x14ac:dyDescent="0.25">
      <c r="A46" s="11">
        <v>2018</v>
      </c>
      <c r="B46" s="18">
        <v>52182.85</v>
      </c>
      <c r="C46" s="18">
        <v>49954.11</v>
      </c>
      <c r="D46" s="18">
        <v>58985.66</v>
      </c>
      <c r="E46" s="18">
        <v>22090.560000000001</v>
      </c>
      <c r="F46" s="18">
        <v>142594.25</v>
      </c>
      <c r="G46" s="18">
        <v>5134</v>
      </c>
      <c r="H46" s="18">
        <v>2000.7</v>
      </c>
      <c r="I46" s="18">
        <v>17059.71</v>
      </c>
      <c r="J46" s="18">
        <v>18400</v>
      </c>
      <c r="K46" s="18">
        <v>10400</v>
      </c>
      <c r="L46" s="18">
        <v>88735.85</v>
      </c>
      <c r="M46" s="18">
        <v>6490.22</v>
      </c>
      <c r="N46" s="18">
        <f t="shared" si="0"/>
        <v>332942.13</v>
      </c>
    </row>
    <row r="47" spans="1:14" x14ac:dyDescent="0.25">
      <c r="A47" s="11">
        <v>2019</v>
      </c>
      <c r="B47" s="18">
        <v>11400.28</v>
      </c>
      <c r="C47" s="18">
        <v>9990</v>
      </c>
      <c r="D47" s="18">
        <v>0</v>
      </c>
      <c r="E47" s="18">
        <v>2682.46</v>
      </c>
      <c r="F47" s="18">
        <v>95953.7</v>
      </c>
      <c r="G47" s="18">
        <v>22179.66</v>
      </c>
      <c r="H47" s="18">
        <v>0</v>
      </c>
      <c r="I47" s="18">
        <v>9915.6</v>
      </c>
      <c r="J47" s="18">
        <v>800</v>
      </c>
      <c r="K47" s="18">
        <v>850</v>
      </c>
      <c r="L47" s="18">
        <v>11491.8</v>
      </c>
      <c r="M47" s="18">
        <v>0</v>
      </c>
      <c r="N47" s="18">
        <f t="shared" si="0"/>
        <v>142206.1</v>
      </c>
    </row>
    <row r="48" spans="1:14" x14ac:dyDescent="0.25">
      <c r="A48" s="11">
        <v>2020</v>
      </c>
      <c r="B48" s="18">
        <v>23660.59</v>
      </c>
      <c r="C48" s="18">
        <v>33033.160000000003</v>
      </c>
      <c r="D48" s="18">
        <v>0</v>
      </c>
      <c r="E48" s="18">
        <v>0</v>
      </c>
      <c r="F48" s="18">
        <v>0</v>
      </c>
      <c r="G48" s="18">
        <v>0</v>
      </c>
      <c r="H48" s="18">
        <v>16924.46</v>
      </c>
      <c r="I48" s="18">
        <v>110</v>
      </c>
      <c r="J48" s="18">
        <v>1354.46</v>
      </c>
      <c r="K48" s="18">
        <v>1452.34</v>
      </c>
      <c r="L48" s="18">
        <v>3544.38</v>
      </c>
      <c r="M48" s="18">
        <v>0</v>
      </c>
      <c r="N48" s="18">
        <f t="shared" si="0"/>
        <v>73618.209999999992</v>
      </c>
    </row>
    <row r="49" spans="1:14" x14ac:dyDescent="0.25">
      <c r="A49" s="11">
        <v>2021</v>
      </c>
      <c r="B49" s="18">
        <v>23852.65</v>
      </c>
      <c r="C49" s="18">
        <v>0</v>
      </c>
      <c r="D49" s="18">
        <v>1104.57</v>
      </c>
      <c r="E49" s="18">
        <v>4337.71</v>
      </c>
      <c r="F49" s="18">
        <v>0</v>
      </c>
      <c r="G49" s="18">
        <v>0</v>
      </c>
      <c r="H49" s="18">
        <v>155</v>
      </c>
      <c r="I49" s="18">
        <v>203786.44</v>
      </c>
      <c r="J49" s="18">
        <v>127.78</v>
      </c>
      <c r="K49" s="18">
        <v>7402.35</v>
      </c>
      <c r="L49" s="18">
        <v>2438</v>
      </c>
      <c r="M49" s="18">
        <v>14071</v>
      </c>
      <c r="N49" s="18">
        <f t="shared" si="0"/>
        <v>29449.93</v>
      </c>
    </row>
    <row r="50" spans="1:14" x14ac:dyDescent="0.25">
      <c r="A50" s="11">
        <v>2022</v>
      </c>
      <c r="B50" s="18">
        <v>0</v>
      </c>
      <c r="C50" s="18">
        <v>1801.81</v>
      </c>
      <c r="D50" s="18">
        <v>6522.74</v>
      </c>
      <c r="E50" s="18">
        <v>10289.540000000001</v>
      </c>
      <c r="F50" s="18">
        <v>471.6</v>
      </c>
      <c r="G50" s="18">
        <v>14709</v>
      </c>
      <c r="H50" s="18">
        <v>0</v>
      </c>
      <c r="I50" s="18">
        <v>9710</v>
      </c>
      <c r="J50" s="18">
        <v>100</v>
      </c>
      <c r="K50" s="18">
        <v>17001.240000000002</v>
      </c>
      <c r="L50" s="18">
        <v>1255</v>
      </c>
      <c r="M50" s="18">
        <v>0</v>
      </c>
      <c r="N50" s="18">
        <f t="shared" si="0"/>
        <v>33794.69</v>
      </c>
    </row>
    <row r="51" spans="1:14" x14ac:dyDescent="0.25">
      <c r="A51" s="11">
        <v>2023</v>
      </c>
      <c r="B51" s="18">
        <v>200</v>
      </c>
      <c r="C51" s="18">
        <v>67062.289999999994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4038.44</v>
      </c>
      <c r="J51" s="18">
        <v>0</v>
      </c>
      <c r="K51" s="18">
        <v>12265</v>
      </c>
      <c r="L51" s="18">
        <v>6952.98</v>
      </c>
      <c r="M51" s="18"/>
      <c r="N51" s="18">
        <f t="shared" si="0"/>
        <v>67262.289999999994</v>
      </c>
    </row>
    <row r="52" spans="1:14" x14ac:dyDescent="0.25">
      <c r="A52" s="11">
        <v>2024</v>
      </c>
      <c r="B52" s="18">
        <v>4488.68</v>
      </c>
      <c r="C52" s="18">
        <v>71868.06</v>
      </c>
      <c r="D52" s="18">
        <v>18225.89</v>
      </c>
      <c r="E52" s="18">
        <v>15772.49</v>
      </c>
      <c r="F52" s="18">
        <v>2420</v>
      </c>
      <c r="G52" s="18">
        <v>9325</v>
      </c>
      <c r="H52" s="18">
        <v>80</v>
      </c>
      <c r="I52" s="18">
        <v>0</v>
      </c>
      <c r="J52" s="18">
        <v>7716.63</v>
      </c>
      <c r="K52" s="18">
        <v>83007.03</v>
      </c>
      <c r="L52" s="18">
        <v>27973.71</v>
      </c>
      <c r="M52" s="18">
        <v>50418.03</v>
      </c>
      <c r="N52" s="18">
        <f t="shared" si="0"/>
        <v>122180.12</v>
      </c>
    </row>
    <row r="53" spans="1:14" x14ac:dyDescent="0.25">
      <c r="A53" s="11">
        <v>2025</v>
      </c>
      <c r="B53" s="18">
        <v>22486.11</v>
      </c>
      <c r="C53" s="18">
        <v>16355</v>
      </c>
      <c r="D53" s="18">
        <v>21167.93</v>
      </c>
      <c r="E53" s="18">
        <v>2998.89</v>
      </c>
      <c r="F53" s="18">
        <v>3408</v>
      </c>
      <c r="G53" s="18">
        <v>12106.81</v>
      </c>
      <c r="H53" s="18">
        <v>3745</v>
      </c>
      <c r="I53" s="18">
        <v>10726.67</v>
      </c>
      <c r="J53" s="18">
        <v>13640.04</v>
      </c>
      <c r="K53" s="18">
        <v>9276.19</v>
      </c>
      <c r="L53" s="18">
        <v>4000.64</v>
      </c>
      <c r="M53" s="18">
        <v>4604.6000000000004</v>
      </c>
      <c r="N53" s="18">
        <f t="shared" si="0"/>
        <v>82267.739999999991</v>
      </c>
    </row>
    <row r="54" spans="1:14" x14ac:dyDescent="0.25">
      <c r="A54" s="11">
        <v>2026</v>
      </c>
      <c r="B54" s="18">
        <v>5863.14</v>
      </c>
      <c r="C54" s="18">
        <v>23056.05</v>
      </c>
      <c r="D54" s="18">
        <v>2180</v>
      </c>
      <c r="E54" s="18">
        <v>10000</v>
      </c>
      <c r="F54" s="18">
        <v>0</v>
      </c>
      <c r="G54" s="18">
        <v>880</v>
      </c>
      <c r="H54" s="18">
        <v>16251</v>
      </c>
      <c r="I54" s="18"/>
      <c r="J54" s="18"/>
      <c r="K54" s="18"/>
      <c r="L54" s="18"/>
      <c r="M54" s="18"/>
      <c r="N54" s="18">
        <f t="shared" si="0"/>
        <v>58230.19</v>
      </c>
    </row>
    <row r="55" spans="1:14" x14ac:dyDescent="0.25">
      <c r="B55" s="14"/>
      <c r="C55" s="14"/>
      <c r="D55" s="14"/>
      <c r="E55" s="14"/>
      <c r="F55" s="14"/>
      <c r="G55" s="14"/>
      <c r="H55" s="14"/>
      <c r="I55" s="14"/>
      <c r="J55" s="14"/>
    </row>
    <row r="56" spans="1:14" x14ac:dyDescent="0.25">
      <c r="B56" s="15"/>
      <c r="C56" s="18"/>
      <c r="D56" s="18"/>
      <c r="E56" s="18"/>
      <c r="F56" s="18"/>
      <c r="G56" s="18"/>
      <c r="H56" s="18"/>
      <c r="I56" s="18"/>
    </row>
    <row r="57" spans="1:14" x14ac:dyDescent="0.25">
      <c r="B57" s="15"/>
      <c r="C57" s="18"/>
      <c r="D57" s="18"/>
      <c r="E57" s="18"/>
      <c r="F57" s="18"/>
      <c r="G57" s="18"/>
      <c r="H57" s="18"/>
      <c r="I57" s="18"/>
    </row>
    <row r="58" spans="1:14" x14ac:dyDescent="0.25">
      <c r="B58" s="15"/>
      <c r="C58" s="18"/>
      <c r="D58" s="18"/>
      <c r="E58" s="18"/>
      <c r="F58" s="18"/>
      <c r="G58" s="18"/>
      <c r="H58" s="18"/>
      <c r="I58" s="18"/>
    </row>
    <row r="59" spans="1:14" x14ac:dyDescent="0.25">
      <c r="B59" s="15"/>
      <c r="C59" s="18"/>
      <c r="D59" s="18"/>
      <c r="E59" s="18"/>
      <c r="F59" s="18"/>
      <c r="G59" s="18"/>
      <c r="H59" s="18"/>
      <c r="I59" s="18"/>
    </row>
    <row r="60" spans="1:14" x14ac:dyDescent="0.25">
      <c r="B60" s="15"/>
      <c r="C60" s="18"/>
      <c r="D60" s="18"/>
      <c r="E60" s="18"/>
      <c r="F60" s="18"/>
      <c r="G60" s="18"/>
      <c r="H60" s="18"/>
      <c r="I60" s="18"/>
    </row>
    <row r="61" spans="1:14" x14ac:dyDescent="0.25">
      <c r="B61" s="15"/>
      <c r="C61" s="18"/>
      <c r="D61" s="18"/>
      <c r="E61" s="18"/>
      <c r="F61" s="18"/>
      <c r="G61" s="18"/>
      <c r="H61" s="18"/>
      <c r="I61" s="18"/>
    </row>
    <row r="62" spans="1:14" x14ac:dyDescent="0.25">
      <c r="B62" s="15"/>
      <c r="C62" s="18"/>
      <c r="D62" s="18"/>
      <c r="E62" s="18"/>
      <c r="F62" s="18"/>
      <c r="G62" s="18"/>
      <c r="H62" s="18"/>
      <c r="I62" s="18"/>
    </row>
    <row r="63" spans="1:14" x14ac:dyDescent="0.25">
      <c r="B63" s="15"/>
      <c r="C63" s="18"/>
      <c r="D63" s="18"/>
      <c r="E63" s="18"/>
      <c r="F63" s="18"/>
      <c r="G63" s="18"/>
      <c r="H63" s="18"/>
      <c r="I63" s="18"/>
    </row>
    <row r="64" spans="1:14" x14ac:dyDescent="0.25">
      <c r="B64" s="15"/>
      <c r="C64" s="18"/>
      <c r="D64" s="18"/>
      <c r="E64" s="18"/>
      <c r="F64" s="18"/>
      <c r="G64" s="18"/>
      <c r="H64" s="18"/>
      <c r="I64" s="18"/>
    </row>
    <row r="65" spans="2:9" x14ac:dyDescent="0.25">
      <c r="B65" s="15"/>
      <c r="C65" s="18"/>
      <c r="D65" s="18"/>
      <c r="E65" s="18"/>
      <c r="F65" s="18"/>
      <c r="G65" s="18"/>
      <c r="H65" s="18"/>
      <c r="I65" s="18"/>
    </row>
    <row r="66" spans="2:9" x14ac:dyDescent="0.25">
      <c r="B66" s="15"/>
      <c r="C66" s="18"/>
      <c r="D66" s="18"/>
      <c r="E66" s="18"/>
      <c r="F66" s="18"/>
      <c r="G66" s="18"/>
      <c r="H66" s="18"/>
      <c r="I66" s="18"/>
    </row>
    <row r="67" spans="2:9" x14ac:dyDescent="0.25">
      <c r="B67" s="15"/>
      <c r="C67" s="18"/>
      <c r="D67" s="18"/>
      <c r="E67" s="18"/>
      <c r="F67" s="18"/>
      <c r="G67" s="18"/>
      <c r="H67" s="18"/>
      <c r="I67" s="18"/>
    </row>
    <row r="68" spans="2:9" x14ac:dyDescent="0.25">
      <c r="B68" s="15"/>
      <c r="C68" s="18"/>
      <c r="D68" s="18"/>
      <c r="E68" s="18"/>
      <c r="F68" s="18"/>
      <c r="G68" s="18"/>
      <c r="H68" s="18"/>
      <c r="I68" s="18"/>
    </row>
    <row r="69" spans="2:9" x14ac:dyDescent="0.25">
      <c r="B69" s="15"/>
      <c r="C69" s="18"/>
      <c r="D69" s="18"/>
      <c r="E69" s="18"/>
      <c r="F69" s="18"/>
      <c r="G69" s="18"/>
      <c r="H69" s="18"/>
      <c r="I69" s="18"/>
    </row>
    <row r="70" spans="2:9" x14ac:dyDescent="0.25">
      <c r="B70" s="15"/>
      <c r="C70" s="18"/>
      <c r="D70" s="18"/>
      <c r="E70" s="18"/>
      <c r="F70" s="18"/>
      <c r="G70" s="18"/>
      <c r="H70" s="18"/>
      <c r="I70" s="18"/>
    </row>
    <row r="71" spans="2:9" x14ac:dyDescent="0.25">
      <c r="B71" s="15"/>
      <c r="C71" s="18"/>
      <c r="D71" s="18"/>
      <c r="E71" s="18"/>
      <c r="F71" s="18"/>
      <c r="G71" s="18"/>
      <c r="H71" s="18"/>
      <c r="I71" s="18"/>
    </row>
    <row r="72" spans="2:9" x14ac:dyDescent="0.25">
      <c r="B72" s="15"/>
      <c r="C72" s="18"/>
      <c r="D72" s="18"/>
      <c r="E72" s="18"/>
      <c r="F72" s="18"/>
      <c r="G72" s="18"/>
      <c r="H72" s="18"/>
      <c r="I72" s="18"/>
    </row>
    <row r="73" spans="2:9" x14ac:dyDescent="0.25">
      <c r="B73" s="15"/>
      <c r="C73" s="18"/>
      <c r="D73" s="18"/>
      <c r="E73" s="18"/>
      <c r="F73" s="18"/>
      <c r="G73" s="18"/>
      <c r="H73" s="18"/>
      <c r="I73" s="18"/>
    </row>
    <row r="74" spans="2:9" x14ac:dyDescent="0.25">
      <c r="B74" s="15"/>
      <c r="C74" s="18"/>
      <c r="D74" s="18"/>
      <c r="E74" s="18"/>
      <c r="F74" s="18"/>
      <c r="G74" s="18"/>
      <c r="H74" s="18"/>
      <c r="I74" s="18"/>
    </row>
    <row r="75" spans="2:9" x14ac:dyDescent="0.25">
      <c r="B75" s="15"/>
      <c r="C75" s="18"/>
      <c r="D75" s="18"/>
      <c r="E75" s="18"/>
      <c r="F75" s="18"/>
      <c r="G75" s="18"/>
      <c r="H75" s="18"/>
      <c r="I75" s="18"/>
    </row>
    <row r="76" spans="2:9" x14ac:dyDescent="0.25">
      <c r="B76" s="15"/>
      <c r="C76" s="18"/>
      <c r="D76" s="18"/>
      <c r="E76" s="18"/>
      <c r="F76" s="18"/>
      <c r="G76" s="18"/>
      <c r="H76" s="18"/>
      <c r="I76" s="18"/>
    </row>
    <row r="77" spans="2:9" x14ac:dyDescent="0.25">
      <c r="B77" s="15"/>
      <c r="C77" s="18"/>
      <c r="D77" s="18"/>
      <c r="E77" s="18"/>
      <c r="F77" s="18"/>
      <c r="G77" s="18"/>
      <c r="H77" s="18"/>
      <c r="I77" s="18"/>
    </row>
    <row r="78" spans="2:9" x14ac:dyDescent="0.25">
      <c r="B78" s="15"/>
      <c r="C78" s="18"/>
      <c r="D78" s="18"/>
      <c r="E78" s="18"/>
      <c r="F78" s="18"/>
      <c r="G78" s="18"/>
      <c r="H78" s="18"/>
      <c r="I78" s="18"/>
    </row>
    <row r="79" spans="2:9" x14ac:dyDescent="0.25">
      <c r="B79" s="15"/>
      <c r="C79" s="18"/>
      <c r="D79" s="18"/>
      <c r="E79" s="18"/>
      <c r="F79" s="18"/>
      <c r="G79" s="18"/>
      <c r="H79" s="18"/>
      <c r="I79" s="18"/>
    </row>
    <row r="80" spans="2:9" x14ac:dyDescent="0.25">
      <c r="B80" s="15"/>
      <c r="C80" s="18"/>
      <c r="D80" s="18"/>
      <c r="E80" s="18"/>
      <c r="F80" s="18"/>
      <c r="G80" s="18"/>
      <c r="H80" s="18"/>
      <c r="I80" s="29"/>
    </row>
    <row r="81" spans="1:16" x14ac:dyDescent="0.25">
      <c r="C81" s="57"/>
      <c r="D81" s="57"/>
      <c r="E81" s="57"/>
      <c r="F81" s="57"/>
      <c r="G81" s="57"/>
      <c r="H81" s="57"/>
      <c r="I81" s="57"/>
    </row>
    <row r="82" spans="1:16" x14ac:dyDescent="0.25">
      <c r="A82" s="11" t="s">
        <v>22</v>
      </c>
      <c r="I82" s="57"/>
    </row>
    <row r="83" spans="1:16" x14ac:dyDescent="0.25">
      <c r="B83" s="14" t="s">
        <v>28</v>
      </c>
      <c r="C83" s="14" t="s">
        <v>29</v>
      </c>
      <c r="D83" s="14" t="s">
        <v>30</v>
      </c>
      <c r="E83" s="14" t="s">
        <v>31</v>
      </c>
      <c r="F83" s="14" t="s">
        <v>32</v>
      </c>
      <c r="G83" s="14" t="s">
        <v>33</v>
      </c>
      <c r="H83" s="14" t="s">
        <v>34</v>
      </c>
      <c r="I83" s="14" t="s">
        <v>35</v>
      </c>
      <c r="J83" s="14" t="s">
        <v>36</v>
      </c>
      <c r="K83" s="14" t="s">
        <v>37</v>
      </c>
      <c r="L83" s="14" t="s">
        <v>38</v>
      </c>
      <c r="M83" s="14" t="s">
        <v>39</v>
      </c>
      <c r="N83" s="14" t="s">
        <v>27</v>
      </c>
    </row>
    <row r="84" spans="1:16" x14ac:dyDescent="0.25">
      <c r="A84" s="11">
        <v>2011</v>
      </c>
      <c r="B84" s="18">
        <v>0</v>
      </c>
      <c r="C84" s="18">
        <v>0</v>
      </c>
      <c r="D84" s="18">
        <v>143668.9</v>
      </c>
      <c r="E84" s="18">
        <v>46280.65</v>
      </c>
      <c r="F84" s="18">
        <v>11504.24</v>
      </c>
      <c r="G84" s="18">
        <v>93709.46</v>
      </c>
      <c r="H84" s="18">
        <v>0</v>
      </c>
      <c r="I84" s="18">
        <v>41411.919999999998</v>
      </c>
      <c r="J84" s="18">
        <v>22074.98</v>
      </c>
      <c r="K84" s="18">
        <v>51330.95</v>
      </c>
      <c r="L84" s="18">
        <v>10405</v>
      </c>
      <c r="M84" s="18">
        <v>78179.600000000006</v>
      </c>
      <c r="N84" s="18">
        <f>SUM(B84:H84)</f>
        <v>295163.25</v>
      </c>
    </row>
    <row r="85" spans="1:16" x14ac:dyDescent="0.25">
      <c r="A85" s="11">
        <v>2012</v>
      </c>
      <c r="B85" s="18">
        <v>6016.7</v>
      </c>
      <c r="C85">
        <v>0</v>
      </c>
      <c r="D85" s="18">
        <v>272173.48</v>
      </c>
      <c r="E85" s="18">
        <v>9853.1200000000008</v>
      </c>
      <c r="F85" s="18">
        <v>13313.7</v>
      </c>
      <c r="G85" s="18">
        <v>8315.85</v>
      </c>
      <c r="H85" s="18">
        <v>9464.65</v>
      </c>
      <c r="I85" s="18">
        <v>2110.4</v>
      </c>
      <c r="J85" s="18">
        <v>2368</v>
      </c>
      <c r="K85" s="18">
        <v>0</v>
      </c>
      <c r="L85" s="18">
        <v>9172.15</v>
      </c>
      <c r="M85" s="18">
        <v>12995.65</v>
      </c>
      <c r="N85" s="18">
        <f t="shared" ref="N85:N99" si="1">SUM(B85:H85)</f>
        <v>319137.5</v>
      </c>
    </row>
    <row r="86" spans="1:16" x14ac:dyDescent="0.25">
      <c r="A86" s="11">
        <v>2013</v>
      </c>
      <c r="B86" s="18">
        <v>9000</v>
      </c>
      <c r="C86" s="18">
        <v>6885</v>
      </c>
      <c r="D86" s="18">
        <v>222917.66</v>
      </c>
      <c r="E86" s="18">
        <v>59817.55</v>
      </c>
      <c r="F86" s="18">
        <v>394.4</v>
      </c>
      <c r="G86" s="18">
        <v>24251.24</v>
      </c>
      <c r="H86" s="18">
        <v>3454.21</v>
      </c>
      <c r="I86" s="18">
        <v>39736.85</v>
      </c>
      <c r="J86" s="18">
        <v>245081.41</v>
      </c>
      <c r="K86" s="18">
        <v>6332.89</v>
      </c>
      <c r="L86" s="18">
        <v>15281.25</v>
      </c>
      <c r="M86" s="18">
        <v>19860</v>
      </c>
      <c r="N86" s="18">
        <f t="shared" si="1"/>
        <v>326720.06000000006</v>
      </c>
    </row>
    <row r="87" spans="1:16" x14ac:dyDescent="0.25">
      <c r="A87" s="11">
        <v>2014</v>
      </c>
      <c r="B87" s="18">
        <v>38211.699999999997</v>
      </c>
      <c r="C87" s="18">
        <v>9714.39</v>
      </c>
      <c r="D87" s="18">
        <v>74793.070000000007</v>
      </c>
      <c r="E87" s="18">
        <v>270158.08000000002</v>
      </c>
      <c r="F87" s="18">
        <v>92782.46</v>
      </c>
      <c r="G87" s="18">
        <v>9014.08</v>
      </c>
      <c r="H87" s="18">
        <v>26650.57</v>
      </c>
      <c r="I87" s="18">
        <v>12078.26</v>
      </c>
      <c r="J87" s="18">
        <v>123460.35</v>
      </c>
      <c r="K87" s="18">
        <v>138294.32999999999</v>
      </c>
      <c r="L87" s="18">
        <v>24996.16</v>
      </c>
      <c r="M87" s="18">
        <v>24381.47</v>
      </c>
      <c r="N87" s="18">
        <f t="shared" si="1"/>
        <v>521324.35000000003</v>
      </c>
    </row>
    <row r="88" spans="1:16" x14ac:dyDescent="0.25">
      <c r="A88" s="11">
        <v>2015</v>
      </c>
      <c r="B88" s="18">
        <v>82289.55</v>
      </c>
      <c r="C88" s="18">
        <v>62323.58</v>
      </c>
      <c r="D88" s="18">
        <v>127832.31</v>
      </c>
      <c r="E88" s="18">
        <v>364905.79</v>
      </c>
      <c r="F88" s="18">
        <v>86843.43</v>
      </c>
      <c r="G88" s="18">
        <v>108690.73</v>
      </c>
      <c r="H88" s="18">
        <v>83211.070000000007</v>
      </c>
      <c r="I88" s="18">
        <v>68050.73</v>
      </c>
      <c r="J88" s="18">
        <v>12719.41</v>
      </c>
      <c r="K88" s="18">
        <v>165667.26</v>
      </c>
      <c r="L88" s="18">
        <v>58231.71</v>
      </c>
      <c r="M88" s="18">
        <v>11769</v>
      </c>
      <c r="N88" s="18">
        <f t="shared" si="1"/>
        <v>916096.46</v>
      </c>
    </row>
    <row r="89" spans="1:16" x14ac:dyDescent="0.25">
      <c r="A89" s="11">
        <v>2106</v>
      </c>
      <c r="B89" s="18">
        <v>92336.55</v>
      </c>
      <c r="C89" s="18">
        <v>1333.87</v>
      </c>
      <c r="D89" s="18">
        <v>173190.1</v>
      </c>
      <c r="E89" s="18">
        <v>0</v>
      </c>
      <c r="F89" s="18">
        <v>5926.71</v>
      </c>
      <c r="G89" s="18">
        <v>0</v>
      </c>
      <c r="H89" s="18">
        <v>34536.83</v>
      </c>
      <c r="I89" s="18">
        <v>129249.84</v>
      </c>
      <c r="J89" s="18">
        <v>230.94</v>
      </c>
      <c r="K89" s="18">
        <v>146213.87</v>
      </c>
      <c r="L89" s="18">
        <v>15535.65</v>
      </c>
      <c r="M89" s="18">
        <v>0</v>
      </c>
      <c r="N89" s="18">
        <f t="shared" si="1"/>
        <v>307324.06000000006</v>
      </c>
    </row>
    <row r="90" spans="1:16" x14ac:dyDescent="0.25">
      <c r="A90" s="11">
        <v>2017</v>
      </c>
      <c r="B90" s="18">
        <v>240236.04</v>
      </c>
      <c r="C90" s="18">
        <v>9509.06</v>
      </c>
      <c r="D90" s="18">
        <v>24523.99</v>
      </c>
      <c r="E90" s="18">
        <v>31573.59</v>
      </c>
      <c r="F90" s="18">
        <v>63558.07</v>
      </c>
      <c r="G90" s="18">
        <v>14802.02</v>
      </c>
      <c r="H90" s="18">
        <v>67282.87</v>
      </c>
      <c r="I90" s="18">
        <v>77183.97</v>
      </c>
      <c r="J90" s="18">
        <v>18137.45</v>
      </c>
      <c r="K90" s="18">
        <v>41572.120000000003</v>
      </c>
      <c r="L90" s="18">
        <v>129161.75</v>
      </c>
      <c r="M90" s="18">
        <v>101457.46</v>
      </c>
      <c r="N90" s="18">
        <f t="shared" si="1"/>
        <v>451485.64000000007</v>
      </c>
    </row>
    <row r="91" spans="1:16" x14ac:dyDescent="0.25">
      <c r="A91" s="11">
        <v>2018</v>
      </c>
      <c r="B91" s="18">
        <v>26637.83</v>
      </c>
      <c r="C91" s="18">
        <v>68490.429999999993</v>
      </c>
      <c r="D91" s="18">
        <v>55893.82</v>
      </c>
      <c r="E91" s="18">
        <v>125454.25</v>
      </c>
      <c r="F91" s="18">
        <v>91435.93</v>
      </c>
      <c r="G91" s="18">
        <v>81885.789999999994</v>
      </c>
      <c r="H91" s="18">
        <v>332322.09000000003</v>
      </c>
      <c r="I91" s="18">
        <v>98280.07</v>
      </c>
      <c r="J91" s="18">
        <v>126649.9</v>
      </c>
      <c r="K91" s="18">
        <v>59949.58</v>
      </c>
      <c r="L91" s="18">
        <v>16772.189999999999</v>
      </c>
      <c r="M91" s="18">
        <v>12222.61</v>
      </c>
      <c r="N91" s="18">
        <f t="shared" si="1"/>
        <v>782120.1399999999</v>
      </c>
    </row>
    <row r="92" spans="1:16" x14ac:dyDescent="0.25">
      <c r="A92" s="11">
        <v>2019</v>
      </c>
      <c r="B92" s="18">
        <v>34093.1</v>
      </c>
      <c r="C92" s="18">
        <v>31165.4</v>
      </c>
      <c r="D92" s="18">
        <v>43051.519999999997</v>
      </c>
      <c r="E92" s="18">
        <v>15299.83</v>
      </c>
      <c r="F92" s="18">
        <v>80617.05</v>
      </c>
      <c r="G92" s="18">
        <v>58946.99</v>
      </c>
      <c r="H92" s="18">
        <v>95984.19</v>
      </c>
      <c r="I92" s="18">
        <v>76243.03</v>
      </c>
      <c r="J92" s="18">
        <v>432907.71</v>
      </c>
      <c r="K92" s="18">
        <v>104710.64</v>
      </c>
      <c r="L92" s="18">
        <v>149679.39000000001</v>
      </c>
      <c r="M92" s="18">
        <v>0</v>
      </c>
      <c r="N92" s="18">
        <f t="shared" si="1"/>
        <v>359158.08</v>
      </c>
    </row>
    <row r="93" spans="1:16" x14ac:dyDescent="0.25">
      <c r="A93" s="11">
        <v>2020</v>
      </c>
      <c r="B93" s="18">
        <v>449052.2</v>
      </c>
      <c r="C93" s="18">
        <v>50482.879999999997</v>
      </c>
      <c r="D93" s="18">
        <v>16643.509999999998</v>
      </c>
      <c r="E93" s="18">
        <v>123736.27</v>
      </c>
      <c r="F93" s="18">
        <v>37383.5</v>
      </c>
      <c r="G93" s="18">
        <v>19084.36</v>
      </c>
      <c r="H93" s="18">
        <v>20678.97</v>
      </c>
      <c r="I93" s="18">
        <v>49365.89</v>
      </c>
      <c r="J93" s="18">
        <v>733.5</v>
      </c>
      <c r="K93" s="18">
        <v>9508.7000000000007</v>
      </c>
      <c r="L93" s="18">
        <v>206945.78</v>
      </c>
      <c r="M93" s="18">
        <v>14875.31</v>
      </c>
      <c r="N93" s="18">
        <f t="shared" si="1"/>
        <v>717061.69</v>
      </c>
    </row>
    <row r="94" spans="1:16" x14ac:dyDescent="0.25">
      <c r="A94" s="11">
        <v>2021</v>
      </c>
      <c r="B94" s="18">
        <v>33967.93</v>
      </c>
      <c r="C94" s="18">
        <v>126852.66</v>
      </c>
      <c r="D94" s="18">
        <v>121253.62</v>
      </c>
      <c r="E94" s="18">
        <v>30939.74</v>
      </c>
      <c r="F94" s="18">
        <v>40478.04</v>
      </c>
      <c r="G94" s="18">
        <v>55937.77</v>
      </c>
      <c r="H94" s="18">
        <v>15341.07</v>
      </c>
      <c r="I94" s="18">
        <v>90660.99</v>
      </c>
      <c r="J94" s="18">
        <v>157701.64000000001</v>
      </c>
      <c r="K94" s="18">
        <v>34840.79</v>
      </c>
      <c r="L94" s="18">
        <v>48977.11</v>
      </c>
      <c r="M94" s="18">
        <v>100704.76</v>
      </c>
      <c r="N94" s="18">
        <f t="shared" si="1"/>
        <v>424770.82999999996</v>
      </c>
      <c r="P94" s="18"/>
    </row>
    <row r="95" spans="1:16" x14ac:dyDescent="0.25">
      <c r="A95" s="11">
        <v>2022</v>
      </c>
      <c r="B95" s="18">
        <v>5637.6</v>
      </c>
      <c r="C95" s="18">
        <v>595638.76</v>
      </c>
      <c r="D95" s="18">
        <v>692166.13</v>
      </c>
      <c r="E95" s="18">
        <v>26663.31</v>
      </c>
      <c r="F95" s="18">
        <v>90523.26</v>
      </c>
      <c r="G95" s="18">
        <v>69286.509999999995</v>
      </c>
      <c r="H95" s="18">
        <v>89437.95</v>
      </c>
      <c r="I95" s="18">
        <v>62346.28</v>
      </c>
      <c r="J95" s="18">
        <v>31481.23</v>
      </c>
      <c r="K95" s="18">
        <v>0</v>
      </c>
      <c r="L95" s="18">
        <v>29513.55</v>
      </c>
      <c r="M95" s="18">
        <v>2023.44</v>
      </c>
      <c r="N95" s="18">
        <f t="shared" si="1"/>
        <v>1569353.52</v>
      </c>
      <c r="P95" s="18"/>
    </row>
    <row r="96" spans="1:16" x14ac:dyDescent="0.25">
      <c r="A96" s="11">
        <v>2023</v>
      </c>
      <c r="B96" s="18">
        <v>787413.23</v>
      </c>
      <c r="C96" s="18">
        <v>73170.27</v>
      </c>
      <c r="D96" s="18">
        <v>94.5</v>
      </c>
      <c r="E96" s="18">
        <v>38501</v>
      </c>
      <c r="F96" s="18">
        <v>45593</v>
      </c>
      <c r="G96" s="18">
        <v>51890.02</v>
      </c>
      <c r="H96" s="18">
        <v>90322.95</v>
      </c>
      <c r="I96" s="18">
        <v>30854.25</v>
      </c>
      <c r="J96" s="18">
        <v>105002.62</v>
      </c>
      <c r="K96" s="18">
        <v>79362.929999999993</v>
      </c>
      <c r="L96" s="18">
        <v>7878.05</v>
      </c>
      <c r="M96" s="18"/>
      <c r="N96" s="18">
        <f t="shared" si="1"/>
        <v>1086984.97</v>
      </c>
      <c r="P96" s="18"/>
    </row>
    <row r="97" spans="1:16" x14ac:dyDescent="0.25">
      <c r="A97" s="11">
        <v>2024</v>
      </c>
      <c r="B97" s="18">
        <v>541586.18999999994</v>
      </c>
      <c r="C97" s="18">
        <v>100956.79</v>
      </c>
      <c r="D97" s="18">
        <v>95643.26</v>
      </c>
      <c r="E97" s="18">
        <v>8195.7000000000007</v>
      </c>
      <c r="F97" s="18">
        <v>50765.34</v>
      </c>
      <c r="G97" s="18">
        <v>152462.32</v>
      </c>
      <c r="H97" s="18">
        <v>12484.64</v>
      </c>
      <c r="I97" s="18">
        <v>7980.69</v>
      </c>
      <c r="J97" s="18">
        <v>40917.96</v>
      </c>
      <c r="K97" s="18">
        <v>64938.9</v>
      </c>
      <c r="L97" s="18">
        <v>64043.24</v>
      </c>
      <c r="M97" s="18">
        <v>3744.4</v>
      </c>
      <c r="N97" s="18">
        <f t="shared" si="1"/>
        <v>962094.23999999987</v>
      </c>
      <c r="P97" s="18"/>
    </row>
    <row r="98" spans="1:16" x14ac:dyDescent="0.25">
      <c r="A98" s="11">
        <v>2025</v>
      </c>
      <c r="B98" s="18">
        <v>235148.63</v>
      </c>
      <c r="C98" s="18">
        <v>1526.86</v>
      </c>
      <c r="D98" s="18">
        <v>34108.410000000003</v>
      </c>
      <c r="E98" s="18">
        <v>361916.2</v>
      </c>
      <c r="F98" s="18">
        <v>4634.3</v>
      </c>
      <c r="G98" s="18">
        <v>47481.74</v>
      </c>
      <c r="H98" s="18">
        <v>63144.25</v>
      </c>
      <c r="I98" s="18">
        <v>106457.35</v>
      </c>
      <c r="J98" s="18">
        <v>4096.92</v>
      </c>
      <c r="K98" s="18">
        <v>108796.02</v>
      </c>
      <c r="L98" s="18">
        <v>336070.67</v>
      </c>
      <c r="M98" s="18">
        <v>8570</v>
      </c>
      <c r="N98" s="18">
        <f t="shared" si="1"/>
        <v>747960.39000000013</v>
      </c>
      <c r="P98" s="18"/>
    </row>
    <row r="99" spans="1:16" x14ac:dyDescent="0.25">
      <c r="A99" s="11">
        <v>2026</v>
      </c>
      <c r="B99" s="18">
        <v>555391.25</v>
      </c>
      <c r="C99" s="18">
        <v>78565.289999999994</v>
      </c>
      <c r="D99" s="18">
        <v>88547.91</v>
      </c>
      <c r="E99" s="18">
        <v>36334.089999999997</v>
      </c>
      <c r="F99" s="18">
        <v>45797.8</v>
      </c>
      <c r="G99" s="18">
        <v>66020.17</v>
      </c>
      <c r="H99" s="18">
        <v>273434.59999999998</v>
      </c>
      <c r="I99" s="18"/>
      <c r="J99" s="18"/>
      <c r="K99" s="18"/>
      <c r="L99" s="18"/>
      <c r="M99" s="18"/>
      <c r="N99" s="18">
        <f t="shared" si="1"/>
        <v>1144091.1100000001</v>
      </c>
      <c r="P99" s="18"/>
    </row>
    <row r="100" spans="1:16" x14ac:dyDescent="0.25">
      <c r="B100" s="18"/>
      <c r="N100" s="18"/>
    </row>
    <row r="101" spans="1:16" x14ac:dyDescent="0.25">
      <c r="C101" s="14"/>
      <c r="D101" s="14"/>
      <c r="E101" s="14"/>
      <c r="F101" s="14"/>
      <c r="G101" s="14"/>
      <c r="H101" s="14"/>
      <c r="I101" s="14"/>
    </row>
    <row r="102" spans="1:16" x14ac:dyDescent="0.25">
      <c r="B102" s="15"/>
      <c r="C102" s="18"/>
      <c r="D102" s="18"/>
      <c r="E102" s="18"/>
      <c r="F102" s="18"/>
      <c r="G102" s="18"/>
      <c r="H102" s="18"/>
      <c r="I102" s="18"/>
    </row>
    <row r="103" spans="1:16" x14ac:dyDescent="0.25">
      <c r="B103" s="15"/>
      <c r="C103" s="18"/>
      <c r="D103" s="18"/>
      <c r="E103" s="18"/>
      <c r="F103" s="18"/>
      <c r="G103" s="18"/>
      <c r="H103" s="18"/>
      <c r="I103" s="18"/>
    </row>
    <row r="104" spans="1:16" x14ac:dyDescent="0.25">
      <c r="B104" s="15"/>
      <c r="C104" s="18"/>
      <c r="D104" s="18"/>
      <c r="E104" s="18"/>
      <c r="F104" s="18"/>
      <c r="G104" s="18"/>
      <c r="H104" s="18"/>
      <c r="I104" s="18"/>
    </row>
    <row r="105" spans="1:16" x14ac:dyDescent="0.25">
      <c r="B105" s="15"/>
      <c r="C105" s="18"/>
      <c r="D105" s="18"/>
      <c r="E105" s="18"/>
      <c r="F105" s="18"/>
      <c r="G105" s="18"/>
      <c r="H105" s="18"/>
      <c r="I105" s="18"/>
    </row>
    <row r="106" spans="1:16" x14ac:dyDescent="0.25">
      <c r="B106" s="15"/>
      <c r="C106" s="18"/>
      <c r="D106" s="18"/>
      <c r="E106" s="18"/>
      <c r="F106" s="18"/>
      <c r="G106" s="18"/>
      <c r="H106" s="18"/>
      <c r="I106" s="18"/>
    </row>
    <row r="107" spans="1:16" x14ac:dyDescent="0.25">
      <c r="B107" s="15"/>
      <c r="C107" s="18"/>
      <c r="D107" s="18"/>
      <c r="E107" s="18"/>
      <c r="F107" s="18"/>
      <c r="G107" s="18"/>
      <c r="H107" s="18"/>
      <c r="I107" s="18"/>
    </row>
    <row r="108" spans="1:16" x14ac:dyDescent="0.25">
      <c r="B108" s="15"/>
      <c r="C108" s="18"/>
      <c r="D108" s="18"/>
      <c r="E108" s="18"/>
      <c r="F108" s="18"/>
      <c r="G108" s="18"/>
      <c r="H108" s="18"/>
      <c r="I108" s="18"/>
    </row>
    <row r="109" spans="1:16" x14ac:dyDescent="0.25">
      <c r="B109" s="15"/>
      <c r="C109" s="18"/>
      <c r="D109" s="18"/>
      <c r="E109" s="18"/>
      <c r="F109" s="18"/>
      <c r="G109" s="18"/>
      <c r="H109" s="18"/>
      <c r="I109" s="18"/>
    </row>
    <row r="110" spans="1:16" x14ac:dyDescent="0.25">
      <c r="B110" s="15"/>
      <c r="C110" s="18"/>
      <c r="D110" s="8"/>
      <c r="E110" s="18"/>
      <c r="F110" s="18"/>
      <c r="G110" s="18"/>
      <c r="H110" s="18"/>
      <c r="I110" s="18"/>
    </row>
    <row r="111" spans="1:16" x14ac:dyDescent="0.25">
      <c r="B111" s="15"/>
      <c r="C111" s="18"/>
      <c r="D111" s="18"/>
      <c r="E111" s="18"/>
      <c r="F111" s="18"/>
      <c r="G111" s="18"/>
      <c r="H111" s="18"/>
      <c r="I111" s="18"/>
    </row>
    <row r="112" spans="1:16" x14ac:dyDescent="0.25">
      <c r="B112" s="15"/>
      <c r="C112" s="18"/>
      <c r="D112" s="18"/>
      <c r="E112" s="18"/>
      <c r="F112" s="18"/>
      <c r="G112" s="18"/>
      <c r="H112" s="18"/>
      <c r="I112" s="18"/>
    </row>
    <row r="113" spans="1:14" x14ac:dyDescent="0.25">
      <c r="B113" s="15"/>
      <c r="C113" s="18"/>
      <c r="D113" s="18"/>
      <c r="F113" s="18"/>
      <c r="G113" s="18"/>
      <c r="H113" s="18"/>
      <c r="I113" s="18"/>
    </row>
    <row r="114" spans="1:14" x14ac:dyDescent="0.25">
      <c r="B114" s="15"/>
      <c r="C114" s="18"/>
      <c r="D114" s="18"/>
      <c r="E114" s="18"/>
      <c r="F114" s="18"/>
      <c r="G114" s="18"/>
      <c r="H114" s="18"/>
      <c r="I114" s="18"/>
    </row>
    <row r="115" spans="1:14" x14ac:dyDescent="0.25">
      <c r="B115" s="15"/>
      <c r="C115" s="18"/>
      <c r="D115" s="18"/>
      <c r="E115" s="18"/>
      <c r="I115" s="18"/>
    </row>
    <row r="116" spans="1:14" x14ac:dyDescent="0.25">
      <c r="B116" s="15"/>
      <c r="C116" s="18"/>
      <c r="D116" s="18"/>
      <c r="E116" s="18"/>
      <c r="F116" s="18"/>
      <c r="G116" s="18"/>
      <c r="H116" s="18"/>
      <c r="I116" s="18"/>
    </row>
    <row r="117" spans="1:14" x14ac:dyDescent="0.25">
      <c r="B117" s="15"/>
      <c r="C117" s="18"/>
      <c r="D117" s="18"/>
      <c r="E117" s="18"/>
      <c r="F117" s="18"/>
      <c r="G117" s="18"/>
      <c r="H117" s="18"/>
      <c r="I117" s="18"/>
    </row>
    <row r="118" spans="1:14" x14ac:dyDescent="0.25">
      <c r="F118" s="18"/>
      <c r="G118" s="18"/>
      <c r="H118" s="18"/>
      <c r="I118" s="57"/>
    </row>
    <row r="119" spans="1:14" x14ac:dyDescent="0.25">
      <c r="A119" s="11" t="s">
        <v>23</v>
      </c>
    </row>
    <row r="120" spans="1:14" x14ac:dyDescent="0.25">
      <c r="B120" s="14" t="s">
        <v>28</v>
      </c>
      <c r="C120" s="14" t="s">
        <v>29</v>
      </c>
      <c r="D120" s="14" t="s">
        <v>30</v>
      </c>
      <c r="E120" s="14" t="s">
        <v>31</v>
      </c>
      <c r="F120" s="14" t="s">
        <v>32</v>
      </c>
      <c r="G120" s="14" t="s">
        <v>33</v>
      </c>
      <c r="H120" s="14" t="s">
        <v>34</v>
      </c>
      <c r="I120" s="14" t="s">
        <v>35</v>
      </c>
      <c r="J120" s="14" t="s">
        <v>36</v>
      </c>
      <c r="K120" s="14" t="s">
        <v>37</v>
      </c>
      <c r="L120" s="14" t="s">
        <v>38</v>
      </c>
      <c r="M120" s="14" t="s">
        <v>39</v>
      </c>
      <c r="N120" s="14" t="s">
        <v>27</v>
      </c>
    </row>
    <row r="121" spans="1:14" x14ac:dyDescent="0.25">
      <c r="A121" s="11">
        <v>2011</v>
      </c>
      <c r="B121" s="18">
        <v>0</v>
      </c>
      <c r="C121" s="18">
        <v>0</v>
      </c>
      <c r="D121" s="18">
        <v>0</v>
      </c>
      <c r="E121" s="18">
        <v>0</v>
      </c>
      <c r="F121" s="18">
        <v>5468.28</v>
      </c>
      <c r="G121" s="18">
        <v>0</v>
      </c>
      <c r="H121" s="18">
        <v>4773.72</v>
      </c>
      <c r="I121" s="18">
        <v>13919.66</v>
      </c>
      <c r="J121" s="18">
        <v>1104</v>
      </c>
      <c r="K121" s="18">
        <v>0</v>
      </c>
      <c r="L121" s="18">
        <v>43210</v>
      </c>
      <c r="M121" s="18">
        <v>363</v>
      </c>
      <c r="N121" s="18">
        <f>SUM(B121:H121)</f>
        <v>10242</v>
      </c>
    </row>
    <row r="122" spans="1:14" x14ac:dyDescent="0.25">
      <c r="A122" s="11">
        <v>2012</v>
      </c>
      <c r="B122" s="18">
        <v>0</v>
      </c>
      <c r="C122" s="18">
        <v>13861.19</v>
      </c>
      <c r="D122" s="18">
        <v>1073</v>
      </c>
      <c r="E122" s="18">
        <v>1053</v>
      </c>
      <c r="F122" s="18">
        <v>3010</v>
      </c>
      <c r="G122" s="18">
        <v>2677.05</v>
      </c>
      <c r="H122" s="18">
        <v>0</v>
      </c>
      <c r="I122" s="18">
        <v>105568.43</v>
      </c>
      <c r="J122" s="18">
        <v>53389.23</v>
      </c>
      <c r="K122" s="18">
        <v>509</v>
      </c>
      <c r="L122" s="18">
        <v>1642.88</v>
      </c>
      <c r="M122" s="18">
        <v>0</v>
      </c>
      <c r="N122" s="18">
        <f t="shared" ref="N122:N136" si="2">SUM(B122:H122)</f>
        <v>21674.240000000002</v>
      </c>
    </row>
    <row r="123" spans="1:14" x14ac:dyDescent="0.25">
      <c r="A123" s="11">
        <v>2013</v>
      </c>
      <c r="B123" s="18">
        <v>1659.12</v>
      </c>
      <c r="C123" s="18">
        <v>14352.53</v>
      </c>
      <c r="D123" s="18">
        <v>15850.32</v>
      </c>
      <c r="E123" s="18">
        <v>59939.15</v>
      </c>
      <c r="F123" s="18">
        <v>38156.949999999997</v>
      </c>
      <c r="G123" s="18">
        <v>3181.34</v>
      </c>
      <c r="H123" s="18">
        <v>14384.07</v>
      </c>
      <c r="I123" s="18">
        <v>26043.82</v>
      </c>
      <c r="J123" s="18">
        <v>11998.09</v>
      </c>
      <c r="K123" s="18">
        <v>2709.1</v>
      </c>
      <c r="L123" s="18">
        <v>0</v>
      </c>
      <c r="M123" s="18">
        <v>12296</v>
      </c>
      <c r="N123" s="18">
        <f t="shared" si="2"/>
        <v>147523.48000000001</v>
      </c>
    </row>
    <row r="124" spans="1:14" x14ac:dyDescent="0.25">
      <c r="A124" s="11">
        <v>2014</v>
      </c>
      <c r="B124" s="18">
        <v>3588</v>
      </c>
      <c r="C124" s="18">
        <v>24847.99</v>
      </c>
      <c r="D124" s="18">
        <v>0</v>
      </c>
      <c r="E124" s="18">
        <v>14548</v>
      </c>
      <c r="F124" s="18">
        <v>3520</v>
      </c>
      <c r="G124" s="18">
        <v>34875.43</v>
      </c>
      <c r="H124" s="18">
        <v>2055</v>
      </c>
      <c r="I124" s="18">
        <v>360</v>
      </c>
      <c r="J124" s="18">
        <v>0</v>
      </c>
      <c r="K124" s="18">
        <v>9068.2999999999993</v>
      </c>
      <c r="L124" s="18">
        <v>0</v>
      </c>
      <c r="M124" s="18">
        <v>1028.5</v>
      </c>
      <c r="N124" s="18">
        <f t="shared" si="2"/>
        <v>83434.420000000013</v>
      </c>
    </row>
    <row r="125" spans="1:14" x14ac:dyDescent="0.25">
      <c r="A125" s="11">
        <v>2015</v>
      </c>
      <c r="B125" s="18">
        <v>14229.12</v>
      </c>
      <c r="C125" s="18">
        <v>7866</v>
      </c>
      <c r="D125" s="18">
        <v>984.48</v>
      </c>
      <c r="E125" s="18">
        <v>10675.79</v>
      </c>
      <c r="F125" s="18">
        <v>1217.6500000000001</v>
      </c>
      <c r="G125" s="18">
        <v>5274</v>
      </c>
      <c r="H125">
        <v>0</v>
      </c>
      <c r="I125">
        <v>0</v>
      </c>
      <c r="J125" s="18">
        <v>33908.81</v>
      </c>
      <c r="K125" s="18">
        <v>25681.32</v>
      </c>
      <c r="L125" s="18">
        <v>140367.60999999999</v>
      </c>
      <c r="M125" s="18">
        <v>5856.21</v>
      </c>
      <c r="N125" s="18">
        <f t="shared" si="2"/>
        <v>40247.040000000001</v>
      </c>
    </row>
    <row r="126" spans="1:14" x14ac:dyDescent="0.25">
      <c r="A126" s="11">
        <v>2016</v>
      </c>
      <c r="B126" s="18">
        <v>20374.96</v>
      </c>
      <c r="C126" s="18">
        <v>9826.6200000000008</v>
      </c>
      <c r="D126" s="18">
        <v>8226</v>
      </c>
      <c r="E126" s="18">
        <v>4496.1000000000004</v>
      </c>
      <c r="F126" s="18">
        <v>7169.29</v>
      </c>
      <c r="G126" s="18">
        <v>15061.47</v>
      </c>
      <c r="H126" s="18">
        <v>41332.32</v>
      </c>
      <c r="I126" s="18">
        <v>20109.060000000001</v>
      </c>
      <c r="J126" s="18">
        <v>2905.84</v>
      </c>
      <c r="K126" s="18">
        <v>5127.62</v>
      </c>
      <c r="L126" s="18">
        <v>0</v>
      </c>
      <c r="M126" s="18">
        <v>0</v>
      </c>
      <c r="N126" s="18">
        <f t="shared" si="2"/>
        <v>106486.76000000001</v>
      </c>
    </row>
    <row r="127" spans="1:14" x14ac:dyDescent="0.25">
      <c r="A127" s="11">
        <v>2017</v>
      </c>
      <c r="B127" s="18">
        <v>2400</v>
      </c>
      <c r="C127" s="18">
        <v>4167</v>
      </c>
      <c r="D127" s="18">
        <v>29315.52</v>
      </c>
      <c r="E127" s="18">
        <v>76072.259999999995</v>
      </c>
      <c r="F127" s="18">
        <v>3723.7</v>
      </c>
      <c r="G127" s="18">
        <v>20136</v>
      </c>
      <c r="H127" s="18">
        <v>34010.449999999997</v>
      </c>
      <c r="I127" s="18">
        <v>12101.44</v>
      </c>
      <c r="J127" s="18">
        <v>37740.949999999997</v>
      </c>
      <c r="K127" s="18">
        <v>37760.730000000003</v>
      </c>
      <c r="L127" s="18">
        <v>24280.01</v>
      </c>
      <c r="M127" s="18">
        <v>0</v>
      </c>
      <c r="N127" s="18">
        <f t="shared" si="2"/>
        <v>169824.93</v>
      </c>
    </row>
    <row r="128" spans="1:14" x14ac:dyDescent="0.25">
      <c r="A128" s="11">
        <v>2018</v>
      </c>
      <c r="B128" s="18">
        <v>8617.91</v>
      </c>
      <c r="C128" s="18">
        <v>5138</v>
      </c>
      <c r="D128" s="18">
        <v>7433.89</v>
      </c>
      <c r="E128" s="18">
        <v>12606.02</v>
      </c>
      <c r="F128" s="18">
        <v>17768.77</v>
      </c>
      <c r="G128" s="18">
        <v>2025</v>
      </c>
      <c r="H128" s="18">
        <v>9924.57</v>
      </c>
      <c r="I128" s="18">
        <v>10931.67</v>
      </c>
      <c r="J128" s="18">
        <v>12903.52</v>
      </c>
      <c r="K128" s="18">
        <v>131483.24</v>
      </c>
      <c r="L128" s="18">
        <v>40145.1</v>
      </c>
      <c r="M128" s="18">
        <v>3254.14</v>
      </c>
      <c r="N128" s="18">
        <f t="shared" si="2"/>
        <v>63514.159999999996</v>
      </c>
    </row>
    <row r="129" spans="1:15" x14ac:dyDescent="0.25">
      <c r="A129" s="11">
        <v>2019</v>
      </c>
      <c r="B129" s="18">
        <v>474009.37</v>
      </c>
      <c r="C129" s="18">
        <v>196964.07</v>
      </c>
      <c r="D129" s="18">
        <v>122223.63</v>
      </c>
      <c r="E129" s="18">
        <v>4670</v>
      </c>
      <c r="F129" s="18">
        <v>6802</v>
      </c>
      <c r="G129" s="18">
        <v>6953.52</v>
      </c>
      <c r="H129" s="18">
        <v>4813.12</v>
      </c>
      <c r="I129" s="18">
        <v>28547.200000000001</v>
      </c>
      <c r="J129" s="8">
        <v>47871.48</v>
      </c>
      <c r="K129" s="18">
        <v>25336.44</v>
      </c>
      <c r="L129" s="18">
        <v>21731.11</v>
      </c>
      <c r="M129" s="18">
        <v>0</v>
      </c>
      <c r="N129" s="18">
        <f t="shared" si="2"/>
        <v>816435.71</v>
      </c>
      <c r="O129" s="8"/>
    </row>
    <row r="130" spans="1:15" x14ac:dyDescent="0.25">
      <c r="A130" s="11">
        <v>2020</v>
      </c>
      <c r="B130" s="18">
        <v>102437.83</v>
      </c>
      <c r="C130" s="18">
        <v>13024.59</v>
      </c>
      <c r="D130" s="18">
        <v>3479.01</v>
      </c>
      <c r="E130" s="18">
        <v>390</v>
      </c>
      <c r="F130" s="18">
        <v>68262</v>
      </c>
      <c r="G130" s="18">
        <v>0</v>
      </c>
      <c r="H130" s="18">
        <v>5614</v>
      </c>
      <c r="I130" s="18">
        <v>84176.5</v>
      </c>
      <c r="J130" s="8">
        <v>17431.97</v>
      </c>
      <c r="K130" s="18">
        <v>0</v>
      </c>
      <c r="L130" s="18">
        <v>6427.5</v>
      </c>
      <c r="M130" s="18">
        <v>27670.74</v>
      </c>
      <c r="N130" s="18">
        <f t="shared" si="2"/>
        <v>193207.43</v>
      </c>
      <c r="O130" s="8"/>
    </row>
    <row r="131" spans="1:15" x14ac:dyDescent="0.25">
      <c r="A131" s="11">
        <v>2021</v>
      </c>
      <c r="B131" s="18">
        <v>3950.35</v>
      </c>
      <c r="C131" s="18">
        <v>450</v>
      </c>
      <c r="D131" s="18">
        <v>25941.8</v>
      </c>
      <c r="E131" s="18">
        <v>365</v>
      </c>
      <c r="F131" s="18">
        <v>6052.51</v>
      </c>
      <c r="G131" s="18">
        <v>3731.68</v>
      </c>
      <c r="H131" s="18">
        <v>0</v>
      </c>
      <c r="I131" s="18">
        <v>4489.0200000000004</v>
      </c>
      <c r="J131" s="8">
        <v>19843.580000000002</v>
      </c>
      <c r="K131" s="18">
        <v>14295.16</v>
      </c>
      <c r="L131" s="18">
        <v>114442.35</v>
      </c>
      <c r="M131" s="18">
        <v>11973.43</v>
      </c>
      <c r="N131" s="18">
        <f t="shared" si="2"/>
        <v>40491.340000000004</v>
      </c>
      <c r="O131" s="8"/>
    </row>
    <row r="132" spans="1:15" x14ac:dyDescent="0.25">
      <c r="A132" s="11">
        <v>2022</v>
      </c>
      <c r="B132" s="18">
        <v>70911.98</v>
      </c>
      <c r="C132" s="18">
        <v>0</v>
      </c>
      <c r="D132" s="18">
        <v>8327.98</v>
      </c>
      <c r="E132" s="18">
        <v>4126.22</v>
      </c>
      <c r="F132" s="18">
        <v>388.73</v>
      </c>
      <c r="G132" s="18">
        <v>390</v>
      </c>
      <c r="H132" s="18">
        <v>9830.5400000000009</v>
      </c>
      <c r="I132" s="18">
        <v>6960</v>
      </c>
      <c r="J132" s="8">
        <v>57076.29</v>
      </c>
      <c r="K132" s="18">
        <v>1470</v>
      </c>
      <c r="L132" s="18">
        <v>16281.31</v>
      </c>
      <c r="M132" s="18">
        <v>0</v>
      </c>
      <c r="N132" s="18">
        <f t="shared" si="2"/>
        <v>93975.449999999983</v>
      </c>
      <c r="O132" s="8"/>
    </row>
    <row r="133" spans="1:15" x14ac:dyDescent="0.25">
      <c r="A133" s="11">
        <v>2023</v>
      </c>
      <c r="B133" s="18">
        <v>136780.20000000001</v>
      </c>
      <c r="C133" s="18">
        <v>1986.99</v>
      </c>
      <c r="D133" s="18">
        <v>1686</v>
      </c>
      <c r="E133" s="18">
        <v>64.08</v>
      </c>
      <c r="F133" s="18">
        <v>0</v>
      </c>
      <c r="G133" s="18">
        <v>670</v>
      </c>
      <c r="H133" s="18">
        <v>0</v>
      </c>
      <c r="I133" s="18">
        <v>390</v>
      </c>
      <c r="J133" s="8">
        <v>0</v>
      </c>
      <c r="K133" s="18">
        <v>51994.16</v>
      </c>
      <c r="L133" s="18">
        <v>86510.71</v>
      </c>
      <c r="M133" s="18"/>
      <c r="N133" s="18">
        <f t="shared" si="2"/>
        <v>141187.26999999999</v>
      </c>
      <c r="O133" s="8"/>
    </row>
    <row r="134" spans="1:15" x14ac:dyDescent="0.25">
      <c r="A134" s="11">
        <v>2024</v>
      </c>
      <c r="B134" s="18">
        <v>28035</v>
      </c>
      <c r="C134" s="18">
        <v>191851.91</v>
      </c>
      <c r="D134" s="18">
        <v>410</v>
      </c>
      <c r="E134" s="18">
        <v>4690</v>
      </c>
      <c r="F134" s="18">
        <v>290</v>
      </c>
      <c r="G134" s="18">
        <v>13314.54</v>
      </c>
      <c r="H134" s="18">
        <v>0</v>
      </c>
      <c r="I134" s="18">
        <v>2762.42</v>
      </c>
      <c r="J134" s="8">
        <v>1256.8499999999999</v>
      </c>
      <c r="K134" s="18">
        <v>760</v>
      </c>
      <c r="L134" s="18">
        <v>9815</v>
      </c>
      <c r="M134" s="18">
        <v>6954.64</v>
      </c>
      <c r="N134" s="18">
        <f t="shared" si="2"/>
        <v>238591.45</v>
      </c>
      <c r="O134" s="8"/>
    </row>
    <row r="135" spans="1:15" x14ac:dyDescent="0.25">
      <c r="A135" s="11">
        <v>2025</v>
      </c>
      <c r="B135" s="18">
        <v>190726.68</v>
      </c>
      <c r="C135" s="18">
        <v>0</v>
      </c>
      <c r="D135" s="18">
        <v>4039.69</v>
      </c>
      <c r="E135" s="18">
        <v>6892.8</v>
      </c>
      <c r="F135" s="18">
        <v>9505.41</v>
      </c>
      <c r="G135" s="18">
        <v>5401.51</v>
      </c>
      <c r="H135" s="18">
        <v>1178.96</v>
      </c>
      <c r="I135" s="18">
        <v>0</v>
      </c>
      <c r="J135" s="8">
        <v>0</v>
      </c>
      <c r="K135" s="18">
        <v>0</v>
      </c>
      <c r="L135" s="18">
        <v>8130</v>
      </c>
      <c r="M135" s="18">
        <v>2320</v>
      </c>
      <c r="N135" s="18">
        <f t="shared" si="2"/>
        <v>217745.05</v>
      </c>
      <c r="O135" s="8"/>
    </row>
    <row r="136" spans="1:15" x14ac:dyDescent="0.25">
      <c r="A136" s="11">
        <v>2026</v>
      </c>
      <c r="B136" s="18">
        <v>32050</v>
      </c>
      <c r="C136" s="18">
        <v>5600</v>
      </c>
      <c r="D136" s="18">
        <v>169640</v>
      </c>
      <c r="E136" s="18">
        <v>0</v>
      </c>
      <c r="F136" s="18">
        <v>1420</v>
      </c>
      <c r="G136" s="18">
        <v>21848.799999999999</v>
      </c>
      <c r="H136" s="18">
        <v>3080</v>
      </c>
      <c r="I136" s="18"/>
      <c r="J136" s="18"/>
      <c r="K136" s="18"/>
      <c r="L136" s="18"/>
      <c r="M136" s="18"/>
      <c r="N136" s="18">
        <f t="shared" si="2"/>
        <v>233638.8</v>
      </c>
      <c r="O136" s="18"/>
    </row>
    <row r="137" spans="1:15" x14ac:dyDescent="0.25">
      <c r="A137" s="11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x14ac:dyDescent="0.25">
      <c r="C138" s="14"/>
      <c r="D138" s="14"/>
      <c r="E138" s="14"/>
      <c r="F138" s="14"/>
      <c r="G138" s="14"/>
      <c r="H138" s="14"/>
      <c r="I138" s="14"/>
    </row>
    <row r="139" spans="1:15" x14ac:dyDescent="0.25">
      <c r="B139" s="15"/>
      <c r="C139" s="18"/>
      <c r="D139" s="8"/>
      <c r="E139" s="18"/>
      <c r="F139" s="18"/>
      <c r="G139" s="18"/>
      <c r="H139" s="18"/>
      <c r="I139" s="18"/>
    </row>
    <row r="140" spans="1:15" x14ac:dyDescent="0.25">
      <c r="B140" s="15"/>
      <c r="C140" s="18"/>
      <c r="D140" s="18"/>
      <c r="E140" s="18"/>
      <c r="F140" s="18"/>
      <c r="G140" s="18"/>
      <c r="H140" s="18"/>
      <c r="I140" s="18"/>
    </row>
    <row r="141" spans="1:15" x14ac:dyDescent="0.25">
      <c r="B141" s="15"/>
      <c r="C141" s="18"/>
      <c r="D141" s="8"/>
      <c r="E141" s="18"/>
      <c r="F141" s="18"/>
      <c r="G141" s="18"/>
      <c r="H141" s="18"/>
      <c r="I141" s="18"/>
    </row>
    <row r="142" spans="1:15" x14ac:dyDescent="0.25">
      <c r="B142" s="15"/>
      <c r="C142" s="18"/>
      <c r="D142" s="18"/>
      <c r="E142" s="18"/>
      <c r="F142" s="18"/>
      <c r="G142" s="18"/>
      <c r="H142" s="18"/>
      <c r="I142" s="18"/>
    </row>
    <row r="143" spans="1:15" x14ac:dyDescent="0.25">
      <c r="B143" s="15"/>
      <c r="C143" s="18"/>
      <c r="D143" s="8"/>
      <c r="E143" s="18"/>
      <c r="F143" s="18"/>
      <c r="G143" s="18"/>
      <c r="H143" s="18"/>
      <c r="I143" s="18"/>
    </row>
    <row r="144" spans="1:15" x14ac:dyDescent="0.25">
      <c r="B144" s="15"/>
      <c r="C144" s="18"/>
      <c r="D144" s="18"/>
      <c r="E144" s="18"/>
      <c r="F144" s="18"/>
      <c r="G144" s="18"/>
      <c r="H144" s="18"/>
      <c r="I144" s="18"/>
    </row>
    <row r="145" spans="1:18" x14ac:dyDescent="0.25">
      <c r="B145" s="15"/>
      <c r="C145" s="18"/>
      <c r="D145" s="8"/>
      <c r="E145" s="18"/>
      <c r="F145" s="18"/>
      <c r="G145" s="18"/>
      <c r="H145" s="18"/>
      <c r="I145" s="18"/>
    </row>
    <row r="146" spans="1:18" x14ac:dyDescent="0.25">
      <c r="B146" s="15"/>
      <c r="C146" s="18"/>
      <c r="D146" s="18"/>
      <c r="E146" s="18"/>
      <c r="F146" s="18"/>
      <c r="G146" s="18"/>
      <c r="H146" s="18"/>
      <c r="I146" s="18"/>
    </row>
    <row r="147" spans="1:18" x14ac:dyDescent="0.25">
      <c r="B147" s="15"/>
      <c r="C147" s="18"/>
      <c r="D147" s="18"/>
      <c r="E147" s="18"/>
      <c r="F147" s="18"/>
      <c r="G147" s="18"/>
      <c r="H147" s="18"/>
      <c r="I147" s="18"/>
    </row>
    <row r="148" spans="1:18" x14ac:dyDescent="0.25">
      <c r="B148" s="15"/>
      <c r="C148" s="18"/>
      <c r="D148" s="8"/>
      <c r="E148" s="18"/>
      <c r="F148" s="18"/>
      <c r="G148" s="18"/>
      <c r="H148" s="18"/>
      <c r="I148" s="18"/>
    </row>
    <row r="149" spans="1:18" x14ac:dyDescent="0.25">
      <c r="B149" s="15"/>
      <c r="C149" s="18"/>
      <c r="D149" s="8"/>
      <c r="E149" s="18"/>
      <c r="F149" s="18"/>
      <c r="G149" s="18"/>
      <c r="H149" s="18"/>
      <c r="I149" s="18"/>
    </row>
    <row r="150" spans="1:18" x14ac:dyDescent="0.25">
      <c r="B150" s="15"/>
      <c r="C150" s="18"/>
      <c r="D150" s="8"/>
      <c r="E150" s="18"/>
      <c r="F150" s="18"/>
      <c r="G150" s="18"/>
      <c r="H150" s="18"/>
      <c r="I150" s="18"/>
    </row>
    <row r="151" spans="1:18" x14ac:dyDescent="0.25">
      <c r="B151" s="15"/>
      <c r="C151" s="18"/>
      <c r="D151" s="8"/>
      <c r="E151" s="18"/>
      <c r="F151" s="18"/>
      <c r="G151" s="18"/>
      <c r="H151" s="18"/>
      <c r="I151" s="18"/>
    </row>
    <row r="152" spans="1:18" x14ac:dyDescent="0.25">
      <c r="B152" s="15"/>
      <c r="C152" s="18"/>
      <c r="D152" s="8"/>
      <c r="E152" s="18"/>
      <c r="F152" s="18"/>
      <c r="G152" s="18"/>
      <c r="H152" s="18"/>
      <c r="I152" s="18"/>
    </row>
    <row r="153" spans="1:18" x14ac:dyDescent="0.25">
      <c r="B153" s="15"/>
      <c r="C153" s="18"/>
      <c r="D153" s="18"/>
      <c r="E153" s="18"/>
      <c r="F153" s="18"/>
      <c r="G153" s="18"/>
      <c r="H153" s="18"/>
      <c r="I153" s="18"/>
    </row>
    <row r="154" spans="1:18" x14ac:dyDescent="0.25">
      <c r="B154" s="10"/>
      <c r="C154" s="18"/>
      <c r="D154" s="8"/>
      <c r="E154" s="18"/>
      <c r="F154" s="18"/>
      <c r="G154" s="18"/>
      <c r="H154" s="18"/>
      <c r="I154" s="18"/>
    </row>
    <row r="155" spans="1:18" x14ac:dyDescent="0.25">
      <c r="B155" s="10"/>
      <c r="C155" s="18"/>
      <c r="D155" s="8"/>
      <c r="E155" s="18"/>
      <c r="F155" s="18"/>
      <c r="G155" s="18"/>
      <c r="H155" s="18"/>
      <c r="I155" s="18"/>
    </row>
    <row r="156" spans="1:18" x14ac:dyDescent="0.25">
      <c r="B156" s="10"/>
      <c r="C156" s="18"/>
      <c r="D156" s="8"/>
      <c r="E156" s="18"/>
      <c r="F156" s="18"/>
      <c r="G156" s="18"/>
      <c r="H156" s="18"/>
      <c r="I156" s="18"/>
    </row>
    <row r="157" spans="1:18" x14ac:dyDescent="0.25">
      <c r="B157" s="10"/>
      <c r="C157" s="57"/>
      <c r="D157" s="57"/>
      <c r="E157" s="57"/>
      <c r="F157" s="57"/>
      <c r="G157" s="57"/>
      <c r="H157" s="57"/>
      <c r="I157" s="57"/>
    </row>
    <row r="158" spans="1:18" x14ac:dyDescent="0.25">
      <c r="A158" s="11" t="s">
        <v>132</v>
      </c>
      <c r="I158" s="8"/>
    </row>
    <row r="159" spans="1:18" x14ac:dyDescent="0.25">
      <c r="B159" s="14" t="s">
        <v>28</v>
      </c>
      <c r="C159" s="14" t="s">
        <v>29</v>
      </c>
      <c r="D159" s="14" t="s">
        <v>30</v>
      </c>
      <c r="E159" s="14" t="s">
        <v>31</v>
      </c>
      <c r="F159" s="14" t="s">
        <v>32</v>
      </c>
      <c r="G159" s="14" t="s">
        <v>33</v>
      </c>
      <c r="H159" s="14" t="s">
        <v>34</v>
      </c>
      <c r="I159" s="14" t="s">
        <v>35</v>
      </c>
      <c r="J159" s="14" t="s">
        <v>36</v>
      </c>
      <c r="K159" s="14" t="s">
        <v>37</v>
      </c>
      <c r="L159" s="14" t="s">
        <v>38</v>
      </c>
      <c r="M159" s="14" t="s">
        <v>39</v>
      </c>
      <c r="N159" s="14" t="s">
        <v>27</v>
      </c>
    </row>
    <row r="160" spans="1:18" x14ac:dyDescent="0.25">
      <c r="A160" s="11">
        <v>2011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f>SUM(B160:H160)</f>
        <v>0</v>
      </c>
      <c r="R160" s="18"/>
    </row>
    <row r="161" spans="1:16" x14ac:dyDescent="0.25">
      <c r="A161" s="11">
        <v>2012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f t="shared" ref="N161:N175" si="3">SUM(B161:H161)</f>
        <v>0</v>
      </c>
    </row>
    <row r="162" spans="1:16" x14ac:dyDescent="0.25">
      <c r="A162" s="11">
        <v>2013</v>
      </c>
      <c r="B162" s="18">
        <v>0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f t="shared" si="3"/>
        <v>0</v>
      </c>
    </row>
    <row r="163" spans="1:16" x14ac:dyDescent="0.25">
      <c r="A163" s="11">
        <v>2014</v>
      </c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f t="shared" si="3"/>
        <v>0</v>
      </c>
    </row>
    <row r="164" spans="1:16" x14ac:dyDescent="0.25">
      <c r="A164" s="11">
        <v>2015</v>
      </c>
      <c r="B164" s="18">
        <v>0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f t="shared" si="3"/>
        <v>0</v>
      </c>
    </row>
    <row r="165" spans="1:16" x14ac:dyDescent="0.25">
      <c r="A165" s="11">
        <v>2016</v>
      </c>
      <c r="B165" s="18">
        <v>0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f t="shared" si="3"/>
        <v>0</v>
      </c>
    </row>
    <row r="166" spans="1:16" x14ac:dyDescent="0.25">
      <c r="A166" s="11">
        <v>2017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f t="shared" si="3"/>
        <v>0</v>
      </c>
    </row>
    <row r="167" spans="1:16" x14ac:dyDescent="0.25">
      <c r="A167" s="11">
        <v>2018</v>
      </c>
      <c r="B167" s="18">
        <v>0</v>
      </c>
      <c r="C167" s="18">
        <v>0</v>
      </c>
      <c r="D167" s="18">
        <v>0</v>
      </c>
      <c r="E167" s="18">
        <v>487</v>
      </c>
      <c r="F167" s="18">
        <v>1600</v>
      </c>
      <c r="G167" s="18">
        <v>0</v>
      </c>
      <c r="H167" s="18">
        <v>4000</v>
      </c>
      <c r="I167" s="18">
        <f>49860+8500</f>
        <v>58360</v>
      </c>
      <c r="J167" s="18">
        <v>49409.77</v>
      </c>
      <c r="K167" s="18">
        <v>76470</v>
      </c>
      <c r="L167" s="18">
        <v>17700</v>
      </c>
      <c r="M167" s="18">
        <v>0</v>
      </c>
      <c r="N167" s="18">
        <f t="shared" si="3"/>
        <v>6087</v>
      </c>
      <c r="P167" s="18"/>
    </row>
    <row r="168" spans="1:16" x14ac:dyDescent="0.25">
      <c r="A168" s="11">
        <v>2019</v>
      </c>
      <c r="B168" s="18">
        <v>700</v>
      </c>
      <c r="C168" s="18">
        <v>0</v>
      </c>
      <c r="D168" s="18">
        <v>600</v>
      </c>
      <c r="E168" s="18">
        <v>4277.0200000000004</v>
      </c>
      <c r="F168" s="18">
        <v>0</v>
      </c>
      <c r="G168" s="18">
        <v>1800</v>
      </c>
      <c r="H168" s="18">
        <v>0</v>
      </c>
      <c r="I168" s="18">
        <v>2929.61</v>
      </c>
      <c r="J168" s="18">
        <v>269154.92</v>
      </c>
      <c r="K168" s="18">
        <v>15344.1</v>
      </c>
      <c r="L168" s="18">
        <v>125493.12</v>
      </c>
      <c r="M168" s="18">
        <v>2050</v>
      </c>
      <c r="N168" s="18">
        <f t="shared" si="3"/>
        <v>7377.02</v>
      </c>
    </row>
    <row r="169" spans="1:16" x14ac:dyDescent="0.25">
      <c r="A169" s="11">
        <v>2020</v>
      </c>
      <c r="B169" s="18">
        <v>205454.41</v>
      </c>
      <c r="C169" s="18">
        <v>880</v>
      </c>
      <c r="D169" s="18">
        <v>0</v>
      </c>
      <c r="E169" s="18">
        <v>56000</v>
      </c>
      <c r="F169" s="18">
        <v>15000</v>
      </c>
      <c r="G169" s="18">
        <v>0</v>
      </c>
      <c r="H169" s="18">
        <v>8827.51</v>
      </c>
      <c r="I169" s="18">
        <v>5150</v>
      </c>
      <c r="J169" s="18">
        <v>4980</v>
      </c>
      <c r="K169" s="18">
        <v>4069</v>
      </c>
      <c r="L169" s="18">
        <v>12485</v>
      </c>
      <c r="M169" s="18">
        <v>11791</v>
      </c>
      <c r="N169" s="18">
        <f t="shared" si="3"/>
        <v>286161.92000000004</v>
      </c>
    </row>
    <row r="170" spans="1:16" x14ac:dyDescent="0.25">
      <c r="A170" s="11">
        <v>2021</v>
      </c>
      <c r="B170" s="18">
        <v>3000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111530.38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f t="shared" si="3"/>
        <v>114530.38</v>
      </c>
    </row>
    <row r="171" spans="1:16" x14ac:dyDescent="0.25">
      <c r="A171" s="11">
        <v>2022</v>
      </c>
      <c r="B171" s="18">
        <v>5415.99</v>
      </c>
      <c r="C171" s="18">
        <v>0</v>
      </c>
      <c r="D171" s="18">
        <v>0</v>
      </c>
      <c r="E171" s="18">
        <v>3665.24</v>
      </c>
      <c r="F171" s="18">
        <v>27340.77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/>
      <c r="M171" s="18">
        <v>0</v>
      </c>
      <c r="N171" s="18">
        <f t="shared" si="3"/>
        <v>36422</v>
      </c>
    </row>
    <row r="172" spans="1:16" x14ac:dyDescent="0.25">
      <c r="A172" s="11">
        <v>2023</v>
      </c>
      <c r="B172" s="18">
        <v>0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/>
      <c r="N172" s="18">
        <f t="shared" si="3"/>
        <v>0</v>
      </c>
    </row>
    <row r="173" spans="1:16" x14ac:dyDescent="0.25">
      <c r="A173" s="11">
        <v>2024</v>
      </c>
      <c r="B173" s="18">
        <v>0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2114</v>
      </c>
      <c r="M173" s="18">
        <v>0</v>
      </c>
      <c r="N173" s="18">
        <f t="shared" si="3"/>
        <v>0</v>
      </c>
    </row>
    <row r="174" spans="1:16" x14ac:dyDescent="0.25">
      <c r="A174" s="11">
        <v>2025</v>
      </c>
      <c r="B174" s="18">
        <v>5950</v>
      </c>
      <c r="C174" s="18">
        <v>0</v>
      </c>
      <c r="D174" s="18">
        <v>0</v>
      </c>
      <c r="E174" s="18">
        <v>0</v>
      </c>
      <c r="F174" s="18">
        <v>0</v>
      </c>
      <c r="G174" s="18">
        <v>11821.2</v>
      </c>
      <c r="H174" s="18">
        <v>0</v>
      </c>
      <c r="I174" s="18">
        <v>0</v>
      </c>
      <c r="J174" s="18">
        <v>0</v>
      </c>
      <c r="K174" s="18">
        <v>0</v>
      </c>
      <c r="L174" s="18">
        <v>608.5</v>
      </c>
      <c r="M174" s="18">
        <v>0</v>
      </c>
      <c r="N174" s="18">
        <f t="shared" si="3"/>
        <v>17771.2</v>
      </c>
    </row>
    <row r="175" spans="1:16" x14ac:dyDescent="0.25">
      <c r="A175" s="11">
        <v>2026</v>
      </c>
      <c r="B175" s="18">
        <v>0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N175" s="18">
        <f t="shared" si="3"/>
        <v>0</v>
      </c>
    </row>
    <row r="176" spans="1:16" x14ac:dyDescent="0.25">
      <c r="A176" s="11"/>
      <c r="N176" s="18"/>
    </row>
    <row r="177" spans="2:9" x14ac:dyDescent="0.25">
      <c r="C177" s="14"/>
      <c r="D177" s="14"/>
      <c r="E177" s="14"/>
      <c r="F177" s="14"/>
      <c r="G177" s="14"/>
      <c r="H177" s="14"/>
      <c r="I177" s="14"/>
    </row>
    <row r="178" spans="2:9" x14ac:dyDescent="0.25">
      <c r="B178" s="15"/>
      <c r="C178" s="18"/>
      <c r="D178" s="18"/>
      <c r="E178" s="18"/>
      <c r="F178" s="18"/>
      <c r="G178" s="18"/>
      <c r="H178" s="18"/>
      <c r="I178" s="18"/>
    </row>
    <row r="179" spans="2:9" x14ac:dyDescent="0.25">
      <c r="B179" s="15"/>
      <c r="C179" s="18"/>
      <c r="D179" s="18"/>
      <c r="E179" s="18"/>
      <c r="F179" s="18"/>
      <c r="G179" s="18"/>
      <c r="H179" s="18"/>
      <c r="I179" s="18"/>
    </row>
    <row r="180" spans="2:9" x14ac:dyDescent="0.25">
      <c r="B180" s="15"/>
      <c r="C180" s="18"/>
      <c r="D180" s="18"/>
      <c r="E180" s="18"/>
      <c r="F180" s="18"/>
      <c r="G180" s="18"/>
      <c r="H180" s="18"/>
      <c r="I180" s="18"/>
    </row>
    <row r="181" spans="2:9" x14ac:dyDescent="0.25">
      <c r="B181" s="15"/>
      <c r="C181" s="18"/>
      <c r="D181" s="18"/>
      <c r="E181" s="18"/>
      <c r="F181" s="18"/>
      <c r="G181" s="18"/>
      <c r="H181" s="18"/>
      <c r="I181" s="18"/>
    </row>
    <row r="182" spans="2:9" x14ac:dyDescent="0.25">
      <c r="B182" s="15"/>
      <c r="C182" s="18"/>
      <c r="D182" s="18"/>
      <c r="E182" s="18"/>
      <c r="F182" s="18"/>
      <c r="G182" s="18"/>
      <c r="H182" s="18"/>
      <c r="I182" s="18"/>
    </row>
    <row r="183" spans="2:9" x14ac:dyDescent="0.25">
      <c r="B183" s="15"/>
      <c r="C183" s="18"/>
      <c r="D183" s="8"/>
      <c r="E183" s="18"/>
      <c r="F183" s="18"/>
      <c r="G183" s="18"/>
      <c r="H183" s="18"/>
      <c r="I183" s="18"/>
    </row>
    <row r="184" spans="2:9" x14ac:dyDescent="0.25">
      <c r="B184" s="15"/>
      <c r="C184" s="18"/>
      <c r="D184" s="8"/>
      <c r="E184" s="18"/>
      <c r="F184" s="18"/>
      <c r="G184" s="18"/>
      <c r="H184" s="18"/>
      <c r="I184" s="18"/>
    </row>
    <row r="185" spans="2:9" x14ac:dyDescent="0.25">
      <c r="B185" s="15"/>
      <c r="C185" s="18"/>
      <c r="D185" s="8"/>
      <c r="E185" s="18"/>
      <c r="F185" s="18"/>
      <c r="G185" s="18"/>
      <c r="H185" s="18"/>
      <c r="I185" s="18"/>
    </row>
    <row r="186" spans="2:9" x14ac:dyDescent="0.25">
      <c r="B186" s="15"/>
      <c r="C186" s="18"/>
      <c r="D186" s="8"/>
      <c r="E186" s="18"/>
      <c r="F186" s="18"/>
      <c r="G186" s="18"/>
      <c r="H186" s="18"/>
      <c r="I186" s="18"/>
    </row>
    <row r="187" spans="2:9" x14ac:dyDescent="0.25">
      <c r="B187" s="15"/>
      <c r="C187" s="18"/>
      <c r="D187" s="8"/>
      <c r="E187" s="18"/>
      <c r="F187" s="18"/>
      <c r="G187" s="18"/>
      <c r="H187" s="18"/>
      <c r="I187" s="18"/>
    </row>
    <row r="188" spans="2:9" x14ac:dyDescent="0.25">
      <c r="B188" s="15"/>
      <c r="C188" s="18"/>
      <c r="D188" s="8"/>
      <c r="E188" s="18"/>
      <c r="F188" s="18"/>
      <c r="G188" s="18"/>
      <c r="H188" s="18"/>
      <c r="I188" s="18"/>
    </row>
    <row r="189" spans="2:9" x14ac:dyDescent="0.25">
      <c r="B189" s="15"/>
      <c r="C189" s="18"/>
      <c r="D189" s="8"/>
      <c r="E189" s="18"/>
      <c r="F189" s="18"/>
      <c r="G189" s="18"/>
      <c r="H189" s="18"/>
      <c r="I189" s="18"/>
    </row>
    <row r="190" spans="2:9" x14ac:dyDescent="0.25">
      <c r="B190" s="15"/>
      <c r="C190" s="18"/>
      <c r="D190" s="18"/>
      <c r="E190" s="18"/>
      <c r="F190" s="18"/>
      <c r="G190" s="18"/>
      <c r="H190" s="18"/>
      <c r="I190" s="18"/>
    </row>
    <row r="191" spans="2:9" x14ac:dyDescent="0.25">
      <c r="B191" s="15"/>
      <c r="C191" s="18"/>
      <c r="D191" s="8"/>
      <c r="E191" s="18"/>
      <c r="F191" s="18"/>
      <c r="G191" s="18"/>
      <c r="H191" s="18"/>
      <c r="I191" s="18"/>
    </row>
    <row r="192" spans="2:9" x14ac:dyDescent="0.25">
      <c r="B192" s="15"/>
      <c r="C192" s="18"/>
      <c r="D192" s="8"/>
      <c r="E192" s="18"/>
      <c r="F192" s="18"/>
      <c r="G192" s="18"/>
      <c r="H192" s="18"/>
      <c r="I192" s="18"/>
    </row>
    <row r="193" spans="2:16" x14ac:dyDescent="0.25">
      <c r="B193" s="15"/>
      <c r="C193" s="18"/>
      <c r="D193" s="8"/>
      <c r="E193" s="18"/>
      <c r="F193" s="18"/>
      <c r="G193" s="18"/>
      <c r="H193" s="18"/>
      <c r="I193" s="18"/>
    </row>
    <row r="194" spans="2:16" x14ac:dyDescent="0.25">
      <c r="B194" s="15"/>
      <c r="C194" s="18"/>
      <c r="D194" s="8"/>
      <c r="E194" s="18"/>
      <c r="F194" s="18"/>
      <c r="G194" s="18"/>
      <c r="H194" s="18"/>
      <c r="I194" s="18"/>
    </row>
    <row r="197" spans="2:16" x14ac:dyDescent="0.25">
      <c r="K197" t="s">
        <v>104</v>
      </c>
      <c r="L197" s="14" t="s">
        <v>27</v>
      </c>
      <c r="M197" s="14" t="s">
        <v>19</v>
      </c>
      <c r="N197" s="14" t="s">
        <v>18</v>
      </c>
      <c r="O197" s="14" t="s">
        <v>20</v>
      </c>
      <c r="P197" s="14" t="s">
        <v>131</v>
      </c>
    </row>
    <row r="198" spans="2:16" x14ac:dyDescent="0.25">
      <c r="K198" s="11" t="s">
        <v>84</v>
      </c>
      <c r="L198" s="18">
        <f>B54+B99+B136+B175</f>
        <v>593304.39</v>
      </c>
      <c r="M198" s="18">
        <f>B99</f>
        <v>555391.25</v>
      </c>
      <c r="N198" s="18">
        <f>B54</f>
        <v>5863.14</v>
      </c>
      <c r="O198" s="18">
        <f>B136</f>
        <v>32050</v>
      </c>
      <c r="P198" s="18">
        <f>B175</f>
        <v>0</v>
      </c>
    </row>
    <row r="199" spans="2:16" x14ac:dyDescent="0.25">
      <c r="K199" s="11" t="s">
        <v>85</v>
      </c>
      <c r="L199" s="18">
        <f>C54+C99+C136+C175</f>
        <v>107221.34</v>
      </c>
      <c r="M199" s="18">
        <f>C99</f>
        <v>78565.289999999994</v>
      </c>
      <c r="N199" s="18">
        <f>C54</f>
        <v>23056.05</v>
      </c>
      <c r="O199" s="18">
        <f>C136</f>
        <v>5600</v>
      </c>
      <c r="P199" s="18">
        <f>C175</f>
        <v>0</v>
      </c>
    </row>
    <row r="200" spans="2:16" x14ac:dyDescent="0.25">
      <c r="K200" s="11" t="s">
        <v>86</v>
      </c>
      <c r="L200" s="18">
        <f>D54+D99+D136+D175</f>
        <v>260367.91</v>
      </c>
      <c r="M200" s="18">
        <f>D99</f>
        <v>88547.91</v>
      </c>
      <c r="N200" s="18">
        <f>D54</f>
        <v>2180</v>
      </c>
      <c r="O200" s="18">
        <f>D136</f>
        <v>169640</v>
      </c>
      <c r="P200" s="18">
        <f>D175</f>
        <v>0</v>
      </c>
    </row>
    <row r="201" spans="2:16" x14ac:dyDescent="0.25">
      <c r="K201" s="11" t="s">
        <v>87</v>
      </c>
      <c r="L201" s="18">
        <f>E54+E99+E136+E175</f>
        <v>46334.09</v>
      </c>
      <c r="M201" s="18">
        <f>E99</f>
        <v>36334.089999999997</v>
      </c>
      <c r="N201" s="18">
        <f>E54</f>
        <v>10000</v>
      </c>
      <c r="O201" s="18">
        <f>E136</f>
        <v>0</v>
      </c>
      <c r="P201" s="18">
        <f>E175</f>
        <v>0</v>
      </c>
    </row>
    <row r="202" spans="2:16" x14ac:dyDescent="0.25">
      <c r="K202" s="11" t="s">
        <v>88</v>
      </c>
      <c r="L202" s="18">
        <f>F54+F99+F136+F175</f>
        <v>47217.8</v>
      </c>
      <c r="M202" s="18">
        <f>F99</f>
        <v>45797.8</v>
      </c>
      <c r="N202" s="18">
        <f>F54</f>
        <v>0</v>
      </c>
      <c r="O202" s="18">
        <f>F136</f>
        <v>1420</v>
      </c>
      <c r="P202" s="18">
        <f>F175</f>
        <v>0</v>
      </c>
    </row>
    <row r="203" spans="2:16" x14ac:dyDescent="0.25">
      <c r="K203" s="11" t="s">
        <v>90</v>
      </c>
      <c r="L203" s="18">
        <f>G54+G99+G136+G175</f>
        <v>88748.97</v>
      </c>
      <c r="M203" s="18">
        <f>G99</f>
        <v>66020.17</v>
      </c>
      <c r="N203" s="18">
        <f>G54</f>
        <v>880</v>
      </c>
      <c r="O203" s="18">
        <f>G136</f>
        <v>21848.799999999999</v>
      </c>
      <c r="P203" s="18">
        <f>G175</f>
        <v>0</v>
      </c>
    </row>
    <row r="204" spans="2:16" x14ac:dyDescent="0.25">
      <c r="K204" s="11" t="s">
        <v>96</v>
      </c>
      <c r="L204" s="18">
        <f>H54+H99+H136+H175</f>
        <v>292765.59999999998</v>
      </c>
      <c r="M204" s="18">
        <f>H99</f>
        <v>273434.59999999998</v>
      </c>
      <c r="N204" s="18">
        <f>H54</f>
        <v>16251</v>
      </c>
      <c r="O204" s="18">
        <f>H136</f>
        <v>3080</v>
      </c>
      <c r="P204" s="18">
        <f>H175</f>
        <v>0</v>
      </c>
    </row>
    <row r="205" spans="2:16" x14ac:dyDescent="0.25">
      <c r="K205" s="11" t="s">
        <v>99</v>
      </c>
      <c r="L205" s="18">
        <f>I54+I99+I136+I175</f>
        <v>0</v>
      </c>
      <c r="M205" s="18">
        <f>I99</f>
        <v>0</v>
      </c>
      <c r="N205" s="18">
        <f>I54</f>
        <v>0</v>
      </c>
      <c r="O205" s="18">
        <f>I136</f>
        <v>0</v>
      </c>
      <c r="P205" s="18">
        <f>I175</f>
        <v>0</v>
      </c>
    </row>
    <row r="206" spans="2:16" x14ac:dyDescent="0.25">
      <c r="K206" s="11" t="s">
        <v>100</v>
      </c>
      <c r="L206" s="18">
        <f>J54+J99+J136+J175</f>
        <v>0</v>
      </c>
      <c r="M206" s="18">
        <f>J99</f>
        <v>0</v>
      </c>
      <c r="N206" s="18">
        <f>J54</f>
        <v>0</v>
      </c>
      <c r="O206" s="18">
        <f>J136</f>
        <v>0</v>
      </c>
      <c r="P206" s="18">
        <f>J175</f>
        <v>0</v>
      </c>
    </row>
    <row r="207" spans="2:16" x14ac:dyDescent="0.25">
      <c r="K207" s="11" t="s">
        <v>101</v>
      </c>
      <c r="L207" s="18">
        <f>K54+K99+K136+K175</f>
        <v>0</v>
      </c>
      <c r="M207" s="18">
        <f>K99</f>
        <v>0</v>
      </c>
      <c r="N207" s="18">
        <f>K54</f>
        <v>0</v>
      </c>
      <c r="O207" s="18">
        <f>K136</f>
        <v>0</v>
      </c>
      <c r="P207" s="18">
        <f>K175</f>
        <v>0</v>
      </c>
    </row>
    <row r="208" spans="2:16" x14ac:dyDescent="0.25">
      <c r="K208" s="11" t="s">
        <v>102</v>
      </c>
      <c r="L208" s="18">
        <f>L54+L99+L136+L175</f>
        <v>0</v>
      </c>
      <c r="M208" s="18">
        <f>L99</f>
        <v>0</v>
      </c>
      <c r="N208" s="18">
        <f>L54</f>
        <v>0</v>
      </c>
      <c r="O208" s="18">
        <f>L136</f>
        <v>0</v>
      </c>
      <c r="P208" s="18">
        <f>L175</f>
        <v>0</v>
      </c>
    </row>
    <row r="209" spans="11:16" x14ac:dyDescent="0.25">
      <c r="K209" s="11" t="s">
        <v>103</v>
      </c>
      <c r="L209" s="18">
        <f>M54+M99+M136+M175</f>
        <v>0</v>
      </c>
      <c r="M209" s="18">
        <f>M99</f>
        <v>0</v>
      </c>
      <c r="N209" s="18">
        <f>M54</f>
        <v>0</v>
      </c>
      <c r="O209" s="18">
        <f>M136</f>
        <v>0</v>
      </c>
      <c r="P209" s="18">
        <f>M175</f>
        <v>0</v>
      </c>
    </row>
    <row r="210" spans="11:16" x14ac:dyDescent="0.25">
      <c r="L210" s="18">
        <f>SUM(L198:L209)</f>
        <v>1435960.1</v>
      </c>
      <c r="M210" s="18">
        <f>SUM(M198:M209)</f>
        <v>1144091.1100000001</v>
      </c>
      <c r="N210" s="18">
        <f>SUM(N198:N209)</f>
        <v>58230.19</v>
      </c>
      <c r="O210" s="18">
        <f>SUM(O198:O209)</f>
        <v>233638.8</v>
      </c>
      <c r="P210" s="18">
        <f>SUM(P198:P209)</f>
        <v>0</v>
      </c>
    </row>
    <row r="212" spans="11:16" x14ac:dyDescent="0.25">
      <c r="L212" s="8">
        <f>B6</f>
        <v>1435960.1</v>
      </c>
      <c r="M212" s="18"/>
      <c r="N212" s="8"/>
    </row>
    <row r="214" spans="11:16" x14ac:dyDescent="0.25">
      <c r="L214" s="8">
        <f>L212-M210-N210-O210-P210</f>
        <v>0</v>
      </c>
    </row>
    <row r="217" spans="11:16" x14ac:dyDescent="0.25">
      <c r="L217" s="18"/>
    </row>
  </sheetData>
  <sortState ref="B73:F94">
    <sortCondition descending="1" ref="F73:F94"/>
  </sortState>
  <pageMargins left="0.7" right="0.7" top="0.75" bottom="0.75" header="0.3" footer="0.3"/>
  <pageSetup paperSize="9" orientation="portrait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zoomScale="108" zoomScaleNormal="110" workbookViewId="0">
      <selection activeCell="F12" sqref="F12"/>
    </sheetView>
  </sheetViews>
  <sheetFormatPr baseColWidth="10" defaultRowHeight="15" x14ac:dyDescent="0.25"/>
  <cols>
    <col min="1" max="1" width="8.28515625" customWidth="1"/>
    <col min="2" max="2" width="13.140625" customWidth="1"/>
    <col min="3" max="3" width="14.7109375" customWidth="1"/>
    <col min="4" max="4" width="13.28515625" customWidth="1"/>
    <col min="5" max="5" width="12.5703125" customWidth="1"/>
    <col min="6" max="7" width="12.7109375" customWidth="1"/>
    <col min="8" max="8" width="13.140625" customWidth="1"/>
    <col min="9" max="9" width="13.28515625" customWidth="1"/>
    <col min="10" max="10" width="13" customWidth="1"/>
    <col min="11" max="11" width="1.7109375" customWidth="1"/>
    <col min="12" max="12" width="7.7109375" customWidth="1"/>
    <col min="13" max="13" width="9.28515625" customWidth="1"/>
    <col min="14" max="14" width="13.85546875" customWidth="1"/>
  </cols>
  <sheetData>
    <row r="1" spans="1:16" ht="60" x14ac:dyDescent="0.25">
      <c r="A1" s="47"/>
      <c r="B1" s="48" t="s">
        <v>71</v>
      </c>
      <c r="C1" s="48" t="s">
        <v>72</v>
      </c>
      <c r="D1" s="48" t="s">
        <v>120</v>
      </c>
      <c r="E1" s="48" t="s">
        <v>73</v>
      </c>
      <c r="F1" s="48" t="s">
        <v>74</v>
      </c>
      <c r="G1" s="48" t="s">
        <v>137</v>
      </c>
      <c r="H1" s="48" t="s">
        <v>136</v>
      </c>
      <c r="I1" s="48" t="s">
        <v>97</v>
      </c>
      <c r="J1" s="48" t="s">
        <v>98</v>
      </c>
      <c r="M1" s="111" t="s">
        <v>135</v>
      </c>
      <c r="N1" s="111" t="s">
        <v>44</v>
      </c>
    </row>
    <row r="2" spans="1:16" x14ac:dyDescent="0.25">
      <c r="A2" s="49" t="s">
        <v>19</v>
      </c>
      <c r="B2" s="50">
        <v>625000</v>
      </c>
      <c r="C2" s="50">
        <v>615000</v>
      </c>
      <c r="D2" s="50">
        <f>MIN!O39</f>
        <v>435908.24</v>
      </c>
      <c r="E2" s="107">
        <f t="shared" ref="E2:F5" si="0">B2/12*8</f>
        <v>416666.66666666669</v>
      </c>
      <c r="F2" s="51">
        <f t="shared" si="0"/>
        <v>410000</v>
      </c>
      <c r="G2" s="142">
        <f>D2-F2</f>
        <v>25908.239999999991</v>
      </c>
      <c r="H2" s="142">
        <f>D2-E2</f>
        <v>19241.573333333305</v>
      </c>
      <c r="I2" s="58">
        <f>D2-C2</f>
        <v>-179091.76</v>
      </c>
      <c r="J2" s="58">
        <f>D2-B2</f>
        <v>-189091.76</v>
      </c>
      <c r="M2" s="87">
        <v>2014</v>
      </c>
      <c r="N2" s="88">
        <v>599213.68999999994</v>
      </c>
    </row>
    <row r="3" spans="1:16" x14ac:dyDescent="0.25">
      <c r="A3" s="49" t="s">
        <v>18</v>
      </c>
      <c r="B3" s="50">
        <v>260000</v>
      </c>
      <c r="C3" s="50">
        <v>250000</v>
      </c>
      <c r="D3" s="50">
        <f>IND!O39</f>
        <v>27851.329999999998</v>
      </c>
      <c r="E3" s="107">
        <f t="shared" si="0"/>
        <v>173333.33333333334</v>
      </c>
      <c r="F3" s="51">
        <f t="shared" si="0"/>
        <v>166666.66666666666</v>
      </c>
      <c r="G3" s="58">
        <f>D3-F3</f>
        <v>-138815.33666666667</v>
      </c>
      <c r="H3" s="58">
        <f>D3-E3</f>
        <v>-145482.00333333336</v>
      </c>
      <c r="I3" s="58">
        <f>D3-C3</f>
        <v>-222148.67</v>
      </c>
      <c r="J3" s="58">
        <f>D3-B3</f>
        <v>-232148.67</v>
      </c>
      <c r="M3" s="87">
        <v>2015</v>
      </c>
      <c r="N3" s="88">
        <v>791852.48</v>
      </c>
      <c r="P3" s="8"/>
    </row>
    <row r="4" spans="1:16" x14ac:dyDescent="0.25">
      <c r="A4" s="49" t="s">
        <v>20</v>
      </c>
      <c r="B4" s="50">
        <v>230000</v>
      </c>
      <c r="C4" s="50">
        <v>220000</v>
      </c>
      <c r="D4" s="50">
        <f>OIL!O42</f>
        <v>183431.66999999998</v>
      </c>
      <c r="E4" s="107">
        <f t="shared" si="0"/>
        <v>153333.33333333334</v>
      </c>
      <c r="F4" s="51">
        <f t="shared" si="0"/>
        <v>146666.66666666666</v>
      </c>
      <c r="G4" s="142">
        <f>D4-F4</f>
        <v>36765.003333333327</v>
      </c>
      <c r="H4" s="142">
        <f>D4-E4</f>
        <v>30098.336666666641</v>
      </c>
      <c r="I4" s="58">
        <f>D4-C4</f>
        <v>-36568.330000000016</v>
      </c>
      <c r="J4" s="58">
        <f>D4-B4</f>
        <v>-46568.330000000016</v>
      </c>
      <c r="M4" s="87">
        <v>2016</v>
      </c>
      <c r="N4" s="88">
        <v>546600.85</v>
      </c>
    </row>
    <row r="5" spans="1:16" x14ac:dyDescent="0.25">
      <c r="A5" s="102" t="s">
        <v>131</v>
      </c>
      <c r="B5" s="50">
        <v>90000</v>
      </c>
      <c r="C5" s="50">
        <v>80000</v>
      </c>
      <c r="D5" s="72">
        <f>SFY!O28</f>
        <v>0</v>
      </c>
      <c r="E5" s="107">
        <f t="shared" si="0"/>
        <v>60000</v>
      </c>
      <c r="F5" s="51">
        <f t="shared" si="0"/>
        <v>53333.333333333336</v>
      </c>
      <c r="G5" s="58">
        <f>D5-F5</f>
        <v>-53333.333333333336</v>
      </c>
      <c r="H5" s="58">
        <f>D5-E5</f>
        <v>-60000</v>
      </c>
      <c r="I5" s="58">
        <f>D5-C5</f>
        <v>-80000</v>
      </c>
      <c r="J5" s="58">
        <f>D5-B5</f>
        <v>-90000</v>
      </c>
      <c r="M5" s="87">
        <v>2017</v>
      </c>
      <c r="N5" s="88">
        <v>586456.22</v>
      </c>
      <c r="P5" s="8"/>
    </row>
    <row r="6" spans="1:16" x14ac:dyDescent="0.25">
      <c r="A6" s="52" t="s">
        <v>70</v>
      </c>
      <c r="B6" s="53">
        <f>SUM(B2:B5)</f>
        <v>1205000</v>
      </c>
      <c r="C6" s="53">
        <f>SUM(C2:C5)</f>
        <v>1165000</v>
      </c>
      <c r="D6" s="53">
        <f>SUM(D2:D5)</f>
        <v>647191.24</v>
      </c>
      <c r="E6" s="108">
        <f>SUM(E2:E5)</f>
        <v>803333.33333333337</v>
      </c>
      <c r="F6" s="54">
        <f>SUM(F2:F5)</f>
        <v>776666.66666666663</v>
      </c>
      <c r="G6" s="58">
        <f>D6-F6</f>
        <v>-129475.42666666664</v>
      </c>
      <c r="H6" s="58">
        <f>D6-E6</f>
        <v>-156142.09333333338</v>
      </c>
      <c r="I6" s="58">
        <f>D6-C6</f>
        <v>-517808.76</v>
      </c>
      <c r="J6" s="58">
        <f>D6-B6</f>
        <v>-557808.76</v>
      </c>
      <c r="M6" s="87">
        <v>2018</v>
      </c>
      <c r="N6" s="88">
        <v>815521.11</v>
      </c>
      <c r="O6" s="8"/>
      <c r="P6" s="8"/>
    </row>
    <row r="7" spans="1:16" x14ac:dyDescent="0.25">
      <c r="A7" s="136"/>
      <c r="B7" s="136"/>
      <c r="C7" s="136"/>
      <c r="D7" s="136"/>
      <c r="E7" s="136"/>
      <c r="F7" s="136"/>
      <c r="G7" s="136"/>
      <c r="H7" s="136"/>
      <c r="I7" s="136"/>
      <c r="J7" s="136"/>
      <c r="M7" s="87">
        <v>2019</v>
      </c>
      <c r="N7" s="88">
        <v>706732.22</v>
      </c>
      <c r="O7" s="8"/>
      <c r="P7" s="8"/>
    </row>
    <row r="8" spans="1:16" x14ac:dyDescent="0.25">
      <c r="A8" s="136"/>
      <c r="B8" s="136"/>
      <c r="C8" s="48" t="s">
        <v>164</v>
      </c>
      <c r="D8" s="120">
        <f>C6-D6</f>
        <v>517808.76</v>
      </c>
      <c r="E8" s="136"/>
      <c r="F8" s="136"/>
      <c r="G8" s="137"/>
      <c r="H8" s="137"/>
      <c r="I8" s="136"/>
      <c r="J8" s="136"/>
      <c r="M8" s="87">
        <v>2020</v>
      </c>
      <c r="N8" s="88">
        <v>820464.8899999999</v>
      </c>
      <c r="O8" s="8"/>
      <c r="P8" s="8"/>
    </row>
    <row r="9" spans="1:16" x14ac:dyDescent="0.25">
      <c r="A9" s="136"/>
      <c r="B9" s="136"/>
      <c r="C9" s="48" t="s">
        <v>163</v>
      </c>
      <c r="D9" s="120">
        <f>B6-D6</f>
        <v>557808.76</v>
      </c>
      <c r="E9" s="137"/>
      <c r="F9" s="136"/>
      <c r="G9" s="137"/>
      <c r="H9" s="137"/>
      <c r="I9" s="136"/>
      <c r="M9" s="87">
        <v>2021</v>
      </c>
      <c r="N9" s="88">
        <v>475934.45</v>
      </c>
    </row>
    <row r="10" spans="1:16" x14ac:dyDescent="0.25">
      <c r="M10" s="87">
        <v>2022</v>
      </c>
      <c r="N10" s="88">
        <v>764082.81000000017</v>
      </c>
    </row>
    <row r="11" spans="1:16" x14ac:dyDescent="0.25">
      <c r="M11" s="87">
        <v>2023</v>
      </c>
      <c r="N11" s="88">
        <v>832552.58679999993</v>
      </c>
    </row>
    <row r="12" spans="1:16" x14ac:dyDescent="0.25">
      <c r="M12" s="87">
        <v>2024</v>
      </c>
      <c r="N12" s="88">
        <v>865726.07680000016</v>
      </c>
    </row>
    <row r="13" spans="1:16" x14ac:dyDescent="0.25">
      <c r="M13" s="87">
        <v>2025</v>
      </c>
      <c r="N13" s="88">
        <v>787520.06</v>
      </c>
    </row>
    <row r="14" spans="1:16" x14ac:dyDescent="0.25">
      <c r="M14" s="87">
        <v>2026</v>
      </c>
      <c r="N14" s="88">
        <f>D6</f>
        <v>647191.24</v>
      </c>
    </row>
    <row r="15" spans="1:16" x14ac:dyDescent="0.25">
      <c r="M15" s="42"/>
      <c r="N15" s="115"/>
    </row>
    <row r="16" spans="1:16" x14ac:dyDescent="0.25">
      <c r="B16" s="8"/>
      <c r="C16" s="8"/>
      <c r="D16" s="8"/>
      <c r="F16" s="8"/>
    </row>
    <row r="17" spans="1:15" x14ac:dyDescent="0.25">
      <c r="B17" s="8"/>
      <c r="C17" s="8"/>
      <c r="D17" s="8"/>
      <c r="F17" s="8"/>
      <c r="G17" s="56">
        <f>SUM(MIN!I:I)+SUM(MIN!K:K)</f>
        <v>435908.24</v>
      </c>
      <c r="H17" s="56">
        <f>SUM(MIN!I:I)+SUM(MIN!K:K)</f>
        <v>435908.24</v>
      </c>
      <c r="I17" s="8"/>
      <c r="N17" s="8"/>
      <c r="O17" s="8"/>
    </row>
    <row r="18" spans="1:15" x14ac:dyDescent="0.25">
      <c r="B18" s="159" t="s">
        <v>94</v>
      </c>
      <c r="C18" s="159"/>
      <c r="D18" s="160" t="s">
        <v>95</v>
      </c>
      <c r="E18" s="160"/>
      <c r="F18" s="8"/>
      <c r="G18" s="56">
        <f>SUM(IND!I:I)+SUM(IND!K:K)</f>
        <v>27851.329999999998</v>
      </c>
      <c r="H18" s="56">
        <f>SUM(IND!I:I)+SUM(IND!K:K)</f>
        <v>27851.329999999998</v>
      </c>
      <c r="I18" s="8"/>
      <c r="M18" s="8"/>
      <c r="N18" s="8"/>
      <c r="O18" s="8"/>
    </row>
    <row r="19" spans="1:15" x14ac:dyDescent="0.25">
      <c r="B19" s="104" t="s">
        <v>93</v>
      </c>
      <c r="C19" s="105" t="s">
        <v>92</v>
      </c>
      <c r="D19" s="109" t="s">
        <v>93</v>
      </c>
      <c r="E19" s="109" t="s">
        <v>92</v>
      </c>
      <c r="F19" s="8"/>
      <c r="G19" s="56">
        <f>SUM(OIL!I:I)+SUM(OIL!K:K)</f>
        <v>183431.66999999998</v>
      </c>
      <c r="H19" s="56">
        <f>SUM(OIL!I:I)+SUM(OIL!K:K)</f>
        <v>183431.66999999998</v>
      </c>
      <c r="I19" s="8"/>
      <c r="L19" s="8"/>
      <c r="M19" s="8"/>
      <c r="O19" s="8"/>
    </row>
    <row r="20" spans="1:15" x14ac:dyDescent="0.25">
      <c r="A20" s="103" t="s">
        <v>19</v>
      </c>
      <c r="B20" s="106">
        <f>(D2*100/E2)%</f>
        <v>1.0461797759999998</v>
      </c>
      <c r="C20" s="106">
        <v>0</v>
      </c>
      <c r="D20" s="110">
        <f>(D2*100/F2)%</f>
        <v>1.0631908292682928</v>
      </c>
      <c r="E20" s="110">
        <v>0</v>
      </c>
      <c r="F20" s="8"/>
      <c r="G20" s="56">
        <f>SUM(SFY!I:I)+SUM(SFY!K:K)</f>
        <v>0</v>
      </c>
      <c r="H20" s="56">
        <f>SUM(SFY!I:I)+SUM(SFY!K:K)</f>
        <v>0</v>
      </c>
    </row>
    <row r="21" spans="1:15" x14ac:dyDescent="0.25">
      <c r="A21" s="103" t="s">
        <v>18</v>
      </c>
      <c r="B21" s="106">
        <f>(D3*100/E3)%</f>
        <v>0.16068075000000001</v>
      </c>
      <c r="C21" s="106">
        <f>100%-B21</f>
        <v>0.83931924999999996</v>
      </c>
      <c r="D21" s="110">
        <f>(D3*100/F3)%</f>
        <v>0.16710798000000002</v>
      </c>
      <c r="E21" s="110">
        <f>100%-D21</f>
        <v>0.83289201999999996</v>
      </c>
      <c r="F21" s="8"/>
      <c r="G21" s="8">
        <f>SUM(G17:G20)</f>
        <v>647191.24</v>
      </c>
      <c r="H21" s="8">
        <f>SUM(H17:H20)</f>
        <v>647191.24</v>
      </c>
      <c r="I21" s="8"/>
      <c r="N21" s="8"/>
    </row>
    <row r="22" spans="1:15" x14ac:dyDescent="0.25">
      <c r="A22" s="103" t="s">
        <v>20</v>
      </c>
      <c r="B22" s="106">
        <f>(D4*100/E4)%</f>
        <v>1.1962934999999999</v>
      </c>
      <c r="C22" s="106">
        <v>0</v>
      </c>
      <c r="D22" s="110">
        <f>(D4*100/F4)%</f>
        <v>1.2506704772727273</v>
      </c>
      <c r="E22" s="110">
        <v>0</v>
      </c>
      <c r="F22" s="8"/>
      <c r="H22" s="8"/>
      <c r="I22" s="8"/>
      <c r="J22" s="8"/>
      <c r="L22" s="18"/>
    </row>
    <row r="23" spans="1:15" x14ac:dyDescent="0.25">
      <c r="A23" s="103" t="s">
        <v>131</v>
      </c>
      <c r="B23" s="106">
        <f>(D5*100/E5)%</f>
        <v>0</v>
      </c>
      <c r="C23" s="106">
        <f>100%-B23</f>
        <v>1</v>
      </c>
      <c r="D23" s="110">
        <f>(D5*100/F5)%</f>
        <v>0</v>
      </c>
      <c r="E23" s="110">
        <f>100%-D23</f>
        <v>1</v>
      </c>
      <c r="F23" s="8"/>
    </row>
    <row r="24" spans="1:15" x14ac:dyDescent="0.25">
      <c r="A24" s="103" t="s">
        <v>91</v>
      </c>
      <c r="B24" s="106">
        <f>(D6*100/E6)%</f>
        <v>0.80563224896265551</v>
      </c>
      <c r="C24" s="106">
        <f>100%-B24</f>
        <v>0.19436775103734449</v>
      </c>
      <c r="D24" s="110">
        <f>(D6*100/F6)%</f>
        <v>0.83329344206008582</v>
      </c>
      <c r="E24" s="110">
        <f>100%-D24</f>
        <v>0.16670655793991418</v>
      </c>
      <c r="F24" s="8"/>
    </row>
    <row r="29" spans="1:15" x14ac:dyDescent="0.25">
      <c r="A29" t="s">
        <v>205</v>
      </c>
    </row>
    <row r="49" spans="2:4" x14ac:dyDescent="0.25">
      <c r="B49" s="81"/>
      <c r="C49" s="81"/>
      <c r="D49" s="81"/>
    </row>
    <row r="51" spans="2:4" x14ac:dyDescent="0.25">
      <c r="B51" t="s">
        <v>155</v>
      </c>
      <c r="C51" t="s">
        <v>154</v>
      </c>
    </row>
    <row r="52" spans="2:4" x14ac:dyDescent="0.25">
      <c r="B52" s="118">
        <v>0.1</v>
      </c>
      <c r="C52">
        <v>1</v>
      </c>
    </row>
    <row r="53" spans="2:4" x14ac:dyDescent="0.25">
      <c r="B53" s="118">
        <v>0.2</v>
      </c>
      <c r="C53">
        <v>1</v>
      </c>
    </row>
    <row r="54" spans="2:4" x14ac:dyDescent="0.25">
      <c r="B54" s="118">
        <v>0.3</v>
      </c>
      <c r="C54">
        <v>1</v>
      </c>
    </row>
    <row r="55" spans="2:4" x14ac:dyDescent="0.25">
      <c r="B55" s="118">
        <v>0.4</v>
      </c>
      <c r="C55">
        <v>1</v>
      </c>
    </row>
    <row r="56" spans="2:4" x14ac:dyDescent="0.25">
      <c r="B56" s="118">
        <v>0.5</v>
      </c>
      <c r="C56">
        <v>1</v>
      </c>
    </row>
    <row r="57" spans="2:4" x14ac:dyDescent="0.25">
      <c r="B57" s="118">
        <v>0.6</v>
      </c>
      <c r="C57">
        <v>1</v>
      </c>
    </row>
    <row r="58" spans="2:4" x14ac:dyDescent="0.25">
      <c r="B58" s="118">
        <v>0.7</v>
      </c>
      <c r="C58">
        <v>1</v>
      </c>
    </row>
    <row r="59" spans="2:4" x14ac:dyDescent="0.25">
      <c r="B59" s="118">
        <v>0.8</v>
      </c>
      <c r="C59">
        <v>1</v>
      </c>
    </row>
    <row r="60" spans="2:4" x14ac:dyDescent="0.25">
      <c r="B60" s="118">
        <v>0.9</v>
      </c>
      <c r="C60">
        <v>1</v>
      </c>
    </row>
    <row r="61" spans="2:4" x14ac:dyDescent="0.25">
      <c r="B61" s="118">
        <v>1</v>
      </c>
      <c r="C61">
        <f>SUM(C52:C60)</f>
        <v>9</v>
      </c>
    </row>
    <row r="63" spans="2:4" x14ac:dyDescent="0.25">
      <c r="B63" t="s">
        <v>213</v>
      </c>
      <c r="C63">
        <f>G66*PI()</f>
        <v>1.7452457039070117</v>
      </c>
    </row>
    <row r="64" spans="2:4" x14ac:dyDescent="0.25">
      <c r="B64" t="s">
        <v>214</v>
      </c>
      <c r="C64">
        <f>G67*PI()</f>
        <v>1.6873122365574016</v>
      </c>
    </row>
    <row r="65" spans="2:11" x14ac:dyDescent="0.25">
      <c r="B65" s="87" t="s">
        <v>156</v>
      </c>
      <c r="C65" s="87" t="s">
        <v>157</v>
      </c>
      <c r="D65" s="87" t="s">
        <v>158</v>
      </c>
    </row>
    <row r="66" spans="2:11" x14ac:dyDescent="0.25">
      <c r="B66" s="87" t="s">
        <v>159</v>
      </c>
      <c r="C66" s="87">
        <v>0</v>
      </c>
      <c r="D66" s="87">
        <v>0</v>
      </c>
      <c r="F66" t="s">
        <v>211</v>
      </c>
      <c r="G66" s="119">
        <f>D6*100%/C6</f>
        <v>0.55552896137339058</v>
      </c>
      <c r="H66">
        <v>56</v>
      </c>
    </row>
    <row r="67" spans="2:11" x14ac:dyDescent="0.25">
      <c r="B67" s="87" t="s">
        <v>160</v>
      </c>
      <c r="C67" s="87">
        <f>COS(C63)*-1</f>
        <v>0.17356589825682942</v>
      </c>
      <c r="D67" s="87">
        <f>SIN(C63)</f>
        <v>0.98482225754818309</v>
      </c>
      <c r="F67" t="s">
        <v>212</v>
      </c>
      <c r="G67" s="119">
        <f>D6*100%/B6</f>
        <v>0.53708816597510378</v>
      </c>
      <c r="H67">
        <v>54</v>
      </c>
      <c r="K67" s="148"/>
    </row>
    <row r="69" spans="2:11" x14ac:dyDescent="0.25">
      <c r="B69" s="87" t="s">
        <v>156</v>
      </c>
      <c r="C69" s="87" t="s">
        <v>157</v>
      </c>
      <c r="D69" s="87" t="s">
        <v>158</v>
      </c>
    </row>
    <row r="70" spans="2:11" x14ac:dyDescent="0.25">
      <c r="B70" s="87" t="s">
        <v>159</v>
      </c>
      <c r="C70" s="87">
        <v>0</v>
      </c>
      <c r="D70" s="87">
        <v>0</v>
      </c>
    </row>
    <row r="71" spans="2:11" x14ac:dyDescent="0.25">
      <c r="B71" s="87" t="s">
        <v>160</v>
      </c>
      <c r="C71" s="87">
        <f>COS(C64)*-1</f>
        <v>0.11625245282556283</v>
      </c>
      <c r="D71" s="87">
        <f>SIN(C64)</f>
        <v>0.9932196973540347</v>
      </c>
    </row>
  </sheetData>
  <mergeCells count="2">
    <mergeCell ref="B18:C18"/>
    <mergeCell ref="D18:E18"/>
  </mergeCells>
  <pageMargins left="0.7" right="0.7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3" workbookViewId="0">
      <selection activeCell="F21" sqref="F21"/>
    </sheetView>
  </sheetViews>
  <sheetFormatPr baseColWidth="10" defaultRowHeight="15" x14ac:dyDescent="0.25"/>
  <cols>
    <col min="1" max="1" width="3" customWidth="1"/>
    <col min="2" max="2" width="18.42578125" customWidth="1"/>
    <col min="3" max="3" width="17.140625" customWidth="1"/>
    <col min="4" max="5" width="11.42578125" customWidth="1"/>
    <col min="9" max="9" width="7" customWidth="1"/>
    <col min="10" max="10" width="7.140625" customWidth="1"/>
  </cols>
  <sheetData>
    <row r="1" spans="1:16" x14ac:dyDescent="0.25">
      <c r="C1" s="14" t="s">
        <v>115</v>
      </c>
      <c r="D1" s="14" t="s">
        <v>19</v>
      </c>
      <c r="E1" s="14" t="s">
        <v>111</v>
      </c>
      <c r="F1" s="14" t="s">
        <v>112</v>
      </c>
      <c r="G1" s="14" t="s">
        <v>113</v>
      </c>
      <c r="H1" s="14" t="s">
        <v>114</v>
      </c>
      <c r="I1" s="14" t="s">
        <v>117</v>
      </c>
      <c r="J1" s="14" t="s">
        <v>118</v>
      </c>
    </row>
    <row r="2" spans="1:16" x14ac:dyDescent="0.25">
      <c r="A2" s="168" t="s">
        <v>110</v>
      </c>
      <c r="B2" s="87" t="s">
        <v>140</v>
      </c>
      <c r="C2" s="171">
        <v>105014.9</v>
      </c>
      <c r="D2" s="171"/>
      <c r="E2" s="88">
        <v>0.2</v>
      </c>
      <c r="F2" s="91">
        <f>C2*E2</f>
        <v>21002.98</v>
      </c>
      <c r="G2" s="92">
        <f>C2*E2</f>
        <v>21002.98</v>
      </c>
      <c r="H2" s="93">
        <f>SUMIF(MIN!L:L,"Juan José Castillo",MIN!I:I)+SUMIF(MIN!L:L,"Juan José Castillo",MIN!K:K)</f>
        <v>0</v>
      </c>
      <c r="I2" s="117">
        <f>(H2*100/F2)%</f>
        <v>0</v>
      </c>
      <c r="J2" s="117">
        <f>(H2*100/G2)%</f>
        <v>0</v>
      </c>
    </row>
    <row r="3" spans="1:16" x14ac:dyDescent="0.25">
      <c r="A3" s="169"/>
      <c r="B3" s="87" t="s">
        <v>141</v>
      </c>
      <c r="C3" s="171"/>
      <c r="D3" s="171"/>
      <c r="E3" s="88">
        <v>0.2</v>
      </c>
      <c r="F3" s="91">
        <f>C2*E3</f>
        <v>21002.98</v>
      </c>
      <c r="G3" s="92">
        <f>C2*E3</f>
        <v>21002.98</v>
      </c>
      <c r="H3" s="93">
        <f>SUMIF(MIN!L:L,"Eduardo Bonilla",MIN!I:I)+SUMIF(MIN!L:L,"Eduardo Bonilla",MIN!K:K)</f>
        <v>0</v>
      </c>
      <c r="I3" s="117">
        <f>(H3*100/F3)%</f>
        <v>0</v>
      </c>
      <c r="J3" s="117">
        <f>(H3*100/G3)%</f>
        <v>0</v>
      </c>
    </row>
    <row r="4" spans="1:16" x14ac:dyDescent="0.25">
      <c r="A4" s="169"/>
      <c r="B4" s="87" t="s">
        <v>83</v>
      </c>
      <c r="C4" s="171"/>
      <c r="D4" s="171"/>
      <c r="E4" s="88">
        <v>0.2</v>
      </c>
      <c r="F4" s="91">
        <f>C2*E4</f>
        <v>21002.98</v>
      </c>
      <c r="G4" s="92">
        <f>C2*E4</f>
        <v>21002.98</v>
      </c>
      <c r="H4" s="93">
        <f>SUMIF(MIN!L:L,"Juan Flores",MIN!I:I)+SUMIF(MIN!L:L,"Juan Flores",MIN!K:K)</f>
        <v>0</v>
      </c>
      <c r="I4" s="117">
        <f>(H4*100/F4)%</f>
        <v>0</v>
      </c>
      <c r="J4" s="117">
        <f>(H4*100/G4)%</f>
        <v>0</v>
      </c>
    </row>
    <row r="5" spans="1:16" x14ac:dyDescent="0.25">
      <c r="A5" s="169"/>
      <c r="B5" s="87" t="s">
        <v>142</v>
      </c>
      <c r="C5" s="171"/>
      <c r="D5" s="171"/>
      <c r="E5" s="88">
        <v>0.2</v>
      </c>
      <c r="F5" s="91">
        <f>C2*E5</f>
        <v>21002.98</v>
      </c>
      <c r="G5" s="92">
        <f>C2*E5</f>
        <v>21002.98</v>
      </c>
      <c r="H5" s="93">
        <f>SUMIF(MIN!L:L,"Luisa Oncevay",MIN!I:I)+SUMIF(MIN!L:L,"Luisa Oncevay",MIN!K:K)</f>
        <v>0</v>
      </c>
      <c r="I5" s="117">
        <f>(H5*100/F5)%</f>
        <v>0</v>
      </c>
      <c r="J5" s="117">
        <f>(H5*100/G5)%</f>
        <v>0</v>
      </c>
    </row>
    <row r="6" spans="1:16" x14ac:dyDescent="0.25">
      <c r="A6" s="170"/>
      <c r="B6" s="116" t="s">
        <v>150</v>
      </c>
      <c r="C6" s="171"/>
      <c r="D6" s="171"/>
      <c r="E6" s="88">
        <v>0.2</v>
      </c>
      <c r="F6" s="91">
        <f>C2*E6</f>
        <v>21002.98</v>
      </c>
      <c r="G6" s="92">
        <f>C2*E6</f>
        <v>21002.98</v>
      </c>
      <c r="H6" s="93">
        <f>SUMIF(MIN!L:L,"Heberth Martinez",MIN!I:I)+SUMIF(MIN!L:L,"Heberth Martinez",MIN!K:K)</f>
        <v>0</v>
      </c>
      <c r="I6" s="117">
        <f>(H6*100/F6)%</f>
        <v>0</v>
      </c>
      <c r="J6" s="117">
        <f>(H6*100/G6)%</f>
        <v>0</v>
      </c>
    </row>
    <row r="7" spans="1:16" x14ac:dyDescent="0.25">
      <c r="C7" s="9"/>
      <c r="D7" s="9"/>
      <c r="E7" s="9">
        <f>SUM(E2:E6)</f>
        <v>1</v>
      </c>
      <c r="F7" s="9">
        <f>SUM(F2:F6)</f>
        <v>105014.9</v>
      </c>
      <c r="G7" s="9">
        <f>SUM(G2:G6)</f>
        <v>105014.9</v>
      </c>
      <c r="H7" s="9">
        <f>SUM(H2:H6)</f>
        <v>0</v>
      </c>
      <c r="I7" s="8"/>
      <c r="J7" s="8"/>
    </row>
    <row r="8" spans="1:16" x14ac:dyDescent="0.25">
      <c r="H8" s="8"/>
    </row>
    <row r="10" spans="1:16" x14ac:dyDescent="0.25">
      <c r="C10" s="14" t="s">
        <v>115</v>
      </c>
      <c r="D10" s="14" t="s">
        <v>19</v>
      </c>
      <c r="E10" s="14" t="s">
        <v>111</v>
      </c>
      <c r="F10" s="14" t="s">
        <v>112</v>
      </c>
      <c r="G10" s="14" t="s">
        <v>113</v>
      </c>
      <c r="H10" s="14" t="s">
        <v>114</v>
      </c>
      <c r="I10" s="14" t="s">
        <v>117</v>
      </c>
      <c r="J10" s="14" t="s">
        <v>118</v>
      </c>
    </row>
    <row r="11" spans="1:16" ht="15" customHeight="1" x14ac:dyDescent="0.25">
      <c r="A11" s="168" t="s">
        <v>110</v>
      </c>
      <c r="B11" s="82" t="s">
        <v>140</v>
      </c>
      <c r="C11" s="162">
        <v>105014.9</v>
      </c>
      <c r="D11" s="163"/>
      <c r="E11" s="88">
        <v>0.2</v>
      </c>
      <c r="F11" s="84">
        <f>C11*E11</f>
        <v>21002.98</v>
      </c>
      <c r="G11" s="83">
        <f>C11*E11</f>
        <v>21002.98</v>
      </c>
      <c r="H11" s="85">
        <f>SUMIF(IND!L:L,"Juan José Castillo",IND!I:I)+SUMIF(IND!L:L,"Juan José Castillo",IND!K:K)</f>
        <v>0</v>
      </c>
      <c r="I11" s="86">
        <f>(H11*100/F11)%</f>
        <v>0</v>
      </c>
      <c r="J11" s="86">
        <f>(H11*100/G11)%</f>
        <v>0</v>
      </c>
      <c r="P11" s="8"/>
    </row>
    <row r="12" spans="1:16" x14ac:dyDescent="0.25">
      <c r="A12" s="169"/>
      <c r="B12" s="82" t="s">
        <v>141</v>
      </c>
      <c r="C12" s="164"/>
      <c r="D12" s="165"/>
      <c r="E12" s="88">
        <v>0.2</v>
      </c>
      <c r="F12" s="84">
        <f>C11*E12</f>
        <v>21002.98</v>
      </c>
      <c r="G12" s="83">
        <f>C11*E12</f>
        <v>21002.98</v>
      </c>
      <c r="H12" s="93">
        <f>SUMIF(IND!L:L,"Eduardo Bonilla",IND!I:I)+SUMIF(IND!L:L,"Eduardo Bonilla",IND!K:K)</f>
        <v>0</v>
      </c>
      <c r="I12" s="86">
        <f>(H12*100/F12)%</f>
        <v>0</v>
      </c>
      <c r="J12" s="86">
        <f>(H12*100/G12)%</f>
        <v>0</v>
      </c>
      <c r="P12" s="8"/>
    </row>
    <row r="13" spans="1:16" x14ac:dyDescent="0.25">
      <c r="A13" s="169"/>
      <c r="B13" s="82" t="s">
        <v>83</v>
      </c>
      <c r="C13" s="164"/>
      <c r="D13" s="165"/>
      <c r="E13" s="88">
        <v>0.2</v>
      </c>
      <c r="F13" s="91">
        <f>C11*E13</f>
        <v>21002.98</v>
      </c>
      <c r="G13" s="92">
        <f>C11*E13</f>
        <v>21002.98</v>
      </c>
      <c r="H13" s="93">
        <f>SUMIF(IND!L:L,"Juan Flores",IND!I:I)+SUMIF(IND!L:L,"Juan Flores",IND!K:K)</f>
        <v>0</v>
      </c>
      <c r="I13" s="86">
        <f>(H13*100/F13)%</f>
        <v>0</v>
      </c>
      <c r="J13" s="86">
        <f>(H13*100/G13)%</f>
        <v>0</v>
      </c>
      <c r="P13" s="8"/>
    </row>
    <row r="14" spans="1:16" x14ac:dyDescent="0.25">
      <c r="A14" s="169"/>
      <c r="B14" s="82" t="s">
        <v>142</v>
      </c>
      <c r="C14" s="164"/>
      <c r="D14" s="165"/>
      <c r="E14" s="88">
        <v>0.2</v>
      </c>
      <c r="F14" s="84">
        <f>C11*E14</f>
        <v>21002.98</v>
      </c>
      <c r="G14" s="83">
        <f>C11*E14</f>
        <v>21002.98</v>
      </c>
      <c r="H14" s="85">
        <f>SUMIF(IND!L:L,"Luisa oncebay",IND!I:I)+SUMIF(IND!L:L,"Luisa oncebay",IND!K:K)</f>
        <v>0</v>
      </c>
      <c r="I14" s="86">
        <f>(H14*100/F14)%</f>
        <v>0</v>
      </c>
      <c r="J14" s="86">
        <f>(H14*100/G14)%</f>
        <v>0</v>
      </c>
      <c r="P14" s="8"/>
    </row>
    <row r="15" spans="1:16" x14ac:dyDescent="0.25">
      <c r="A15" s="169"/>
      <c r="B15" s="87" t="s">
        <v>150</v>
      </c>
      <c r="C15" s="166"/>
      <c r="D15" s="167"/>
      <c r="E15" s="88">
        <v>0.2</v>
      </c>
      <c r="F15" s="84">
        <f>C11*E15</f>
        <v>21002.98</v>
      </c>
      <c r="G15" s="83">
        <f>C11*E15</f>
        <v>21002.98</v>
      </c>
      <c r="H15" s="93">
        <f>SUMIF(IND!L:L,"heberth Martinez",IND!I:I)+SUMIF(IND!L:L,"Heberth Martinez",IND!K:K)</f>
        <v>0</v>
      </c>
      <c r="I15" s="86">
        <f>(H15*100/F15)%</f>
        <v>0</v>
      </c>
      <c r="J15" s="86">
        <f>(H15*100/G15)%</f>
        <v>0</v>
      </c>
      <c r="P15" s="8"/>
    </row>
    <row r="16" spans="1:16" x14ac:dyDescent="0.25">
      <c r="C16" s="9"/>
      <c r="D16" s="9"/>
      <c r="E16" s="9">
        <f>SUM(E11:E15)</f>
        <v>1</v>
      </c>
      <c r="F16" s="9">
        <f>SUM(F11:F15)</f>
        <v>105014.9</v>
      </c>
      <c r="G16" s="9">
        <f>SUM(G11:G15)</f>
        <v>105014.9</v>
      </c>
      <c r="H16" s="9">
        <f>SUM(H11:H15)</f>
        <v>0</v>
      </c>
      <c r="I16" s="8"/>
      <c r="J16" s="8"/>
    </row>
    <row r="17" spans="1:10" x14ac:dyDescent="0.25">
      <c r="H17" s="8"/>
    </row>
    <row r="19" spans="1:10" x14ac:dyDescent="0.25">
      <c r="C19" s="14" t="s">
        <v>115</v>
      </c>
      <c r="D19" s="14" t="s">
        <v>19</v>
      </c>
      <c r="E19" s="14" t="s">
        <v>111</v>
      </c>
      <c r="F19" s="14" t="s">
        <v>112</v>
      </c>
      <c r="G19" s="14" t="s">
        <v>113</v>
      </c>
      <c r="H19" s="14" t="s">
        <v>114</v>
      </c>
      <c r="I19" s="14" t="s">
        <v>117</v>
      </c>
      <c r="J19" s="14" t="s">
        <v>118</v>
      </c>
    </row>
    <row r="20" spans="1:10" ht="15" customHeight="1" x14ac:dyDescent="0.25">
      <c r="A20" s="168" t="s">
        <v>110</v>
      </c>
      <c r="B20" s="87" t="s">
        <v>140</v>
      </c>
      <c r="C20" s="171">
        <v>105014.9</v>
      </c>
      <c r="D20" s="171"/>
      <c r="E20" s="88">
        <v>0.2</v>
      </c>
      <c r="F20" s="91">
        <f>C20*E20</f>
        <v>21002.98</v>
      </c>
      <c r="G20" s="92">
        <f>C20*E20</f>
        <v>21002.98</v>
      </c>
      <c r="H20" s="93">
        <f>SUMIF(OIL!L:L,"Juan José Castillo",OIL!I:I)+SUMIF(OIL!L:L,"Juan José Castillo",OIL!K:K)</f>
        <v>0</v>
      </c>
      <c r="I20" s="117">
        <f>(H20*100/F20)%</f>
        <v>0</v>
      </c>
      <c r="J20" s="117">
        <f>(H20*100/G20)%</f>
        <v>0</v>
      </c>
    </row>
    <row r="21" spans="1:10" x14ac:dyDescent="0.25">
      <c r="A21" s="169"/>
      <c r="B21" s="87" t="s">
        <v>141</v>
      </c>
      <c r="C21" s="171"/>
      <c r="D21" s="171"/>
      <c r="E21" s="88">
        <v>0.2</v>
      </c>
      <c r="F21" s="91">
        <f>C20*E21</f>
        <v>21002.98</v>
      </c>
      <c r="G21" s="92">
        <f>C20*E21</f>
        <v>21002.98</v>
      </c>
      <c r="H21" s="93">
        <f>SUMIF(OIL!L:L,"Eduardo Bonilla",OIL!I:I)+SUMIF(OIL!L:L,"eduardo bonilla",OIL!K:K)</f>
        <v>0</v>
      </c>
      <c r="I21" s="117">
        <f>(H21*100/F21)%</f>
        <v>0</v>
      </c>
      <c r="J21" s="117">
        <f>(H21*100/G21)%</f>
        <v>0</v>
      </c>
    </row>
    <row r="22" spans="1:10" x14ac:dyDescent="0.25">
      <c r="A22" s="169"/>
      <c r="B22" s="87" t="s">
        <v>83</v>
      </c>
      <c r="C22" s="171"/>
      <c r="D22" s="171"/>
      <c r="E22" s="88">
        <v>0.2</v>
      </c>
      <c r="F22" s="91">
        <f>C20*E22</f>
        <v>21002.98</v>
      </c>
      <c r="G22" s="92">
        <f>C20*E22</f>
        <v>21002.98</v>
      </c>
      <c r="H22" s="93">
        <f>SUMIF(OIL!L:L,"juan flores",OIL!I:I)+SUMIF(OIL!L:L,"juan flores",OIL!K:K)</f>
        <v>0</v>
      </c>
      <c r="I22" s="117">
        <f>(H22*100/F22)%</f>
        <v>0</v>
      </c>
      <c r="J22" s="117">
        <f>(H22*100/G22)%</f>
        <v>0</v>
      </c>
    </row>
    <row r="23" spans="1:10" x14ac:dyDescent="0.25">
      <c r="A23" s="169"/>
      <c r="B23" s="87" t="s">
        <v>142</v>
      </c>
      <c r="C23" s="171"/>
      <c r="D23" s="171"/>
      <c r="E23" s="88">
        <v>0.2</v>
      </c>
      <c r="F23" s="91">
        <f>C20*E23</f>
        <v>21002.98</v>
      </c>
      <c r="G23" s="92">
        <f>C20*E23</f>
        <v>21002.98</v>
      </c>
      <c r="H23" s="93">
        <f>SUMIF(OIL!L:L,"luisa oncebay",OIL!I:I)+SUMIF(OIL!L:L,"luisa oncebay",OIL!K:K)</f>
        <v>0</v>
      </c>
      <c r="I23" s="117">
        <f>(H23*100/F23)%</f>
        <v>0</v>
      </c>
      <c r="J23" s="117">
        <f>(H23*100/G23)%</f>
        <v>0</v>
      </c>
    </row>
    <row r="24" spans="1:10" x14ac:dyDescent="0.25">
      <c r="A24" s="169"/>
      <c r="B24" s="116" t="s">
        <v>151</v>
      </c>
      <c r="C24" s="171"/>
      <c r="D24" s="171"/>
      <c r="E24" s="88">
        <v>0.2</v>
      </c>
      <c r="F24" s="91">
        <f>C20*E24</f>
        <v>21002.98</v>
      </c>
      <c r="G24" s="92">
        <f>C20*E24</f>
        <v>21002.98</v>
      </c>
      <c r="H24" s="93">
        <f>SUMIF(OIL!L:L,"Heberth Martinez",OIL!I:I)+SUMIF(OIL!L:L,"Heberth Martinez",OIL!K:K)</f>
        <v>0</v>
      </c>
      <c r="I24" s="117">
        <f>(H24*100/F24)%</f>
        <v>0</v>
      </c>
      <c r="J24" s="117">
        <f>(H24*100/G24)%</f>
        <v>0</v>
      </c>
    </row>
    <row r="25" spans="1:10" x14ac:dyDescent="0.25">
      <c r="E25" s="9">
        <f>SUM(E20:E24)</f>
        <v>1</v>
      </c>
      <c r="F25" s="9">
        <f>SUM(F20:F24)</f>
        <v>105014.9</v>
      </c>
      <c r="G25" s="9">
        <f>SUM(G20:G24)</f>
        <v>105014.9</v>
      </c>
      <c r="H25" s="9">
        <f>SUM(H20:H24)</f>
        <v>0</v>
      </c>
    </row>
    <row r="27" spans="1:10" x14ac:dyDescent="0.25">
      <c r="F27" s="8"/>
    </row>
    <row r="28" spans="1:10" x14ac:dyDescent="0.25">
      <c r="C28" s="14" t="s">
        <v>115</v>
      </c>
      <c r="D28" s="14" t="s">
        <v>19</v>
      </c>
      <c r="E28" s="14" t="s">
        <v>111</v>
      </c>
      <c r="F28" s="14" t="s">
        <v>112</v>
      </c>
      <c r="G28" s="14" t="s">
        <v>113</v>
      </c>
      <c r="H28" s="14" t="s">
        <v>114</v>
      </c>
      <c r="I28" s="14" t="s">
        <v>117</v>
      </c>
      <c r="J28" s="14" t="s">
        <v>118</v>
      </c>
    </row>
    <row r="29" spans="1:10" ht="15" customHeight="1" x14ac:dyDescent="0.25">
      <c r="A29" s="161" t="s">
        <v>110</v>
      </c>
      <c r="B29" s="87" t="s">
        <v>140</v>
      </c>
      <c r="C29" s="162">
        <v>105014.9</v>
      </c>
      <c r="D29" s="163"/>
      <c r="E29" s="88">
        <v>0.2</v>
      </c>
      <c r="F29" s="91">
        <f>C29*E29</f>
        <v>21002.98</v>
      </c>
      <c r="G29" s="92">
        <f>C29*E29</f>
        <v>21002.98</v>
      </c>
      <c r="H29" s="93">
        <f>SUMIF(SFY!L:L,"Juan José Castillo",SFY!I:I)+SUMIF(SFY!L:L,"Juan José Castillo",SFY!K:K)</f>
        <v>0</v>
      </c>
      <c r="I29" s="117">
        <f>(H29*100/F29)%</f>
        <v>0</v>
      </c>
      <c r="J29" s="117">
        <f>(H29*100/G29)%</f>
        <v>0</v>
      </c>
    </row>
    <row r="30" spans="1:10" x14ac:dyDescent="0.25">
      <c r="A30" s="161"/>
      <c r="B30" s="87" t="s">
        <v>141</v>
      </c>
      <c r="C30" s="164"/>
      <c r="D30" s="165"/>
      <c r="E30" s="88">
        <v>0.2</v>
      </c>
      <c r="F30" s="91">
        <f>C29*E30</f>
        <v>21002.98</v>
      </c>
      <c r="G30" s="92">
        <f>C29*E30</f>
        <v>21002.98</v>
      </c>
      <c r="H30" s="93">
        <f>SUMIF(SFY!L:L,"eduardo bonilla",SFY!I:I)+SUMIF(SFY!L:L,"eduardo bonilla",SFY!K:K)</f>
        <v>0</v>
      </c>
      <c r="I30" s="117">
        <f>(H30*100/F30)%</f>
        <v>0</v>
      </c>
      <c r="J30" s="117">
        <f>(H30*100/G30)%</f>
        <v>0</v>
      </c>
    </row>
    <row r="31" spans="1:10" x14ac:dyDescent="0.25">
      <c r="A31" s="161"/>
      <c r="B31" s="87" t="s">
        <v>83</v>
      </c>
      <c r="C31" s="164"/>
      <c r="D31" s="165"/>
      <c r="E31" s="88">
        <v>0.2</v>
      </c>
      <c r="F31" s="91">
        <f>C29*E31</f>
        <v>21002.98</v>
      </c>
      <c r="G31" s="92">
        <f>C29*E31</f>
        <v>21002.98</v>
      </c>
      <c r="H31" s="93">
        <f>SUMIF(SFY!L:L,"juan flores",SFY!I:I)+SUMIF(SFY!L:L,"juan flores",SFY!K:K)</f>
        <v>0</v>
      </c>
      <c r="I31" s="117">
        <f>(H31*100/F31)%</f>
        <v>0</v>
      </c>
      <c r="J31" s="117">
        <f>(H31*100/G31)%</f>
        <v>0</v>
      </c>
    </row>
    <row r="32" spans="1:10" x14ac:dyDescent="0.25">
      <c r="A32" s="161"/>
      <c r="B32" s="87" t="s">
        <v>142</v>
      </c>
      <c r="C32" s="164"/>
      <c r="D32" s="165"/>
      <c r="E32" s="88">
        <v>0.2</v>
      </c>
      <c r="F32" s="91">
        <f>C29*E32</f>
        <v>21002.98</v>
      </c>
      <c r="G32" s="92">
        <f>C29*E32</f>
        <v>21002.98</v>
      </c>
      <c r="H32" s="93">
        <f>SUMIF(SFY!L:L,"luisa oncebay",SFY!I:I)+SUMIF(SFY!L:L,"luisa oncebay",SFY!K:K)</f>
        <v>0</v>
      </c>
      <c r="I32" s="117">
        <f>(H32*100/F32)%</f>
        <v>0</v>
      </c>
      <c r="J32" s="117">
        <f>(H32*100/G32)%</f>
        <v>0</v>
      </c>
    </row>
    <row r="33" spans="1:10" x14ac:dyDescent="0.25">
      <c r="A33" s="161"/>
      <c r="B33" s="87" t="s">
        <v>150</v>
      </c>
      <c r="C33" s="166"/>
      <c r="D33" s="167"/>
      <c r="E33" s="88">
        <v>0.2</v>
      </c>
      <c r="F33" s="91">
        <f>C29*E33</f>
        <v>21002.98</v>
      </c>
      <c r="G33" s="92">
        <f>C29*E33</f>
        <v>21002.98</v>
      </c>
      <c r="H33" s="93">
        <f>SUMIF(SFY!L:L,"Heberth Martinez",SFY!I:I)+SUMIF(SFY!L:L,"Heberth Martinez",SFY!K:K)</f>
        <v>0</v>
      </c>
      <c r="I33" s="117">
        <f>(H33*100/F33)%</f>
        <v>0</v>
      </c>
      <c r="J33" s="117">
        <f>(H33*100/G33)%</f>
        <v>0</v>
      </c>
    </row>
    <row r="34" spans="1:10" x14ac:dyDescent="0.25">
      <c r="E34" s="9">
        <f>SUM(E29:E33)</f>
        <v>1</v>
      </c>
      <c r="F34" s="9">
        <f>SUM(F29:F33)</f>
        <v>105014.9</v>
      </c>
      <c r="G34" s="9">
        <f>SUM(G29:G33)</f>
        <v>105014.9</v>
      </c>
      <c r="H34" s="9">
        <f>SUM(H29:H33)</f>
        <v>0</v>
      </c>
    </row>
    <row r="37" spans="1:10" x14ac:dyDescent="0.25">
      <c r="B37" s="90" t="s">
        <v>122</v>
      </c>
      <c r="C37" s="90" t="s">
        <v>127</v>
      </c>
      <c r="D37" s="90" t="s">
        <v>114</v>
      </c>
      <c r="E37" s="101" t="s">
        <v>125</v>
      </c>
    </row>
    <row r="38" spans="1:10" x14ac:dyDescent="0.25">
      <c r="B38" s="87" t="s">
        <v>22</v>
      </c>
      <c r="C38" s="88">
        <f>C2</f>
        <v>105014.9</v>
      </c>
      <c r="D38" s="88">
        <f>SUM(H2:H5)</f>
        <v>0</v>
      </c>
      <c r="E38" s="88">
        <f>D38*100/C38</f>
        <v>0</v>
      </c>
      <c r="F38" s="8"/>
    </row>
    <row r="39" spans="1:10" x14ac:dyDescent="0.25">
      <c r="B39" s="87" t="s">
        <v>26</v>
      </c>
      <c r="C39" s="88">
        <f>C11</f>
        <v>105014.9</v>
      </c>
      <c r="D39" s="88">
        <f>SUM(H11:H14)</f>
        <v>0</v>
      </c>
      <c r="E39" s="88">
        <f>D39*100/C39</f>
        <v>0</v>
      </c>
    </row>
    <row r="40" spans="1:10" x14ac:dyDescent="0.25">
      <c r="B40" s="87" t="s">
        <v>23</v>
      </c>
      <c r="C40" s="88">
        <f>C20</f>
        <v>105014.9</v>
      </c>
      <c r="D40" s="88">
        <f>SUM(H20:H23)</f>
        <v>0</v>
      </c>
      <c r="E40" s="88">
        <f>D40*100/C40</f>
        <v>0</v>
      </c>
    </row>
    <row r="41" spans="1:10" ht="15.75" thickBot="1" x14ac:dyDescent="0.3">
      <c r="B41" s="87" t="s">
        <v>132</v>
      </c>
      <c r="C41" s="89">
        <f>C29</f>
        <v>105014.9</v>
      </c>
      <c r="D41" s="89">
        <f>SUM(H29:H32)</f>
        <v>0</v>
      </c>
      <c r="E41" s="89">
        <f>D41*100/C41</f>
        <v>0</v>
      </c>
    </row>
    <row r="42" spans="1:10" ht="15.75" thickTop="1" x14ac:dyDescent="0.25">
      <c r="B42" s="87" t="s">
        <v>27</v>
      </c>
      <c r="C42" s="72">
        <f>SUM(C38:C41)</f>
        <v>420059.6</v>
      </c>
      <c r="D42" s="72">
        <f>SUM(D38:D41)</f>
        <v>0</v>
      </c>
      <c r="E42" s="72">
        <f>(D42*100)/C42</f>
        <v>0</v>
      </c>
    </row>
    <row r="45" spans="1:10" x14ac:dyDescent="0.25">
      <c r="B45" t="s">
        <v>145</v>
      </c>
      <c r="C45" s="8">
        <f>H2+H11+H20+H29</f>
        <v>0</v>
      </c>
    </row>
    <row r="46" spans="1:10" x14ac:dyDescent="0.25">
      <c r="B46" t="s">
        <v>139</v>
      </c>
      <c r="C46" s="8">
        <f>H3+H12+H21+H30</f>
        <v>0</v>
      </c>
    </row>
    <row r="47" spans="1:10" x14ac:dyDescent="0.25">
      <c r="B47" t="s">
        <v>143</v>
      </c>
      <c r="C47" s="8">
        <f>H4+H13+H22+H31</f>
        <v>0</v>
      </c>
    </row>
    <row r="48" spans="1:10" x14ac:dyDescent="0.25">
      <c r="B48" t="s">
        <v>142</v>
      </c>
      <c r="C48" s="8">
        <f>H5+H14+H23+H32</f>
        <v>0</v>
      </c>
    </row>
    <row r="49" spans="2:3" x14ac:dyDescent="0.25">
      <c r="B49" t="s">
        <v>150</v>
      </c>
      <c r="C49" s="8">
        <f>H6+H15+H24+H33</f>
        <v>0</v>
      </c>
    </row>
    <row r="50" spans="2:3" x14ac:dyDescent="0.25">
      <c r="C50" s="112">
        <f>SUM(C45:C49)</f>
        <v>0</v>
      </c>
    </row>
  </sheetData>
  <mergeCells count="8">
    <mergeCell ref="A29:A33"/>
    <mergeCell ref="C29:D33"/>
    <mergeCell ref="A2:A6"/>
    <mergeCell ref="C2:D6"/>
    <mergeCell ref="A11:A15"/>
    <mergeCell ref="C11:D15"/>
    <mergeCell ref="C20:D24"/>
    <mergeCell ref="A20:A24"/>
  </mergeCells>
  <pageMargins left="0.7" right="0.7" top="0.75" bottom="0.75" header="0.3" footer="0.3"/>
  <pageSetup orientation="portrait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F20" sqref="F20"/>
    </sheetView>
  </sheetViews>
  <sheetFormatPr baseColWidth="10" defaultRowHeight="15" x14ac:dyDescent="0.25"/>
  <cols>
    <col min="1" max="1" width="4.85546875" customWidth="1"/>
    <col min="2" max="2" width="11.7109375" bestFit="1" customWidth="1"/>
    <col min="3" max="4" width="11.5703125" bestFit="1" customWidth="1"/>
    <col min="5" max="5" width="13" customWidth="1"/>
    <col min="6" max="6" width="14.28515625" customWidth="1"/>
    <col min="8" max="8" width="15.140625" bestFit="1" customWidth="1"/>
  </cols>
  <sheetData>
    <row r="1" spans="1:11" x14ac:dyDescent="0.25">
      <c r="B1" s="172" t="s">
        <v>177</v>
      </c>
      <c r="C1" s="172"/>
      <c r="D1" s="172"/>
      <c r="E1" s="172"/>
      <c r="F1" s="172"/>
      <c r="G1" s="173" t="s">
        <v>179</v>
      </c>
      <c r="H1" s="173"/>
      <c r="I1" s="173"/>
      <c r="J1" s="173"/>
      <c r="K1" s="173"/>
    </row>
    <row r="2" spans="1:11" x14ac:dyDescent="0.25">
      <c r="A2" t="s">
        <v>180</v>
      </c>
      <c r="B2" s="121" t="s">
        <v>19</v>
      </c>
      <c r="C2" s="121" t="s">
        <v>18</v>
      </c>
      <c r="D2" s="121" t="s">
        <v>20</v>
      </c>
      <c r="E2" s="121" t="s">
        <v>131</v>
      </c>
      <c r="F2" s="125" t="s">
        <v>81</v>
      </c>
      <c r="G2" s="122" t="s">
        <v>19</v>
      </c>
      <c r="H2" s="122" t="s">
        <v>18</v>
      </c>
      <c r="I2" s="122" t="s">
        <v>20</v>
      </c>
      <c r="J2" s="122" t="s">
        <v>131</v>
      </c>
      <c r="K2" s="122" t="s">
        <v>178</v>
      </c>
    </row>
    <row r="3" spans="1:11" x14ac:dyDescent="0.25">
      <c r="A3" s="87" t="s">
        <v>165</v>
      </c>
      <c r="B3" s="123">
        <f>' 2011-2026'!$M$198</f>
        <v>555391.25</v>
      </c>
      <c r="C3" s="123">
        <f>' 2011-2026'!N198</f>
        <v>5863.14</v>
      </c>
      <c r="D3" s="123">
        <f>' 2011-2026'!O198</f>
        <v>32050</v>
      </c>
      <c r="E3" s="123">
        <f>' 2011-2026'!P198</f>
        <v>0</v>
      </c>
      <c r="F3" s="126">
        <f>SUM(B3:E3)</f>
        <v>593304.39</v>
      </c>
      <c r="G3" s="124">
        <v>0</v>
      </c>
      <c r="H3" s="124">
        <v>0</v>
      </c>
      <c r="I3" s="124">
        <v>390</v>
      </c>
      <c r="J3" s="124">
        <v>158050.41</v>
      </c>
      <c r="K3" s="124">
        <f>SUM(G3:J3)</f>
        <v>158440.41</v>
      </c>
    </row>
    <row r="4" spans="1:11" x14ac:dyDescent="0.25">
      <c r="A4" s="87" t="s">
        <v>166</v>
      </c>
      <c r="B4" s="123">
        <f>' 2011-2026'!$M$199</f>
        <v>78565.289999999994</v>
      </c>
      <c r="C4" s="123">
        <f>' 2011-2026'!N199</f>
        <v>23056.05</v>
      </c>
      <c r="D4" s="123">
        <f>' 2011-2026'!O199</f>
        <v>5600</v>
      </c>
      <c r="E4" s="123">
        <f>' 2011-2026'!P199</f>
        <v>0</v>
      </c>
      <c r="F4" s="126">
        <f t="shared" ref="F4:F14" si="0">SUM(B4:E4)</f>
        <v>107221.34</v>
      </c>
      <c r="G4" s="124">
        <v>3992</v>
      </c>
      <c r="H4" s="124">
        <v>1593.14</v>
      </c>
      <c r="I4" s="124">
        <v>0</v>
      </c>
      <c r="J4" s="124">
        <v>0</v>
      </c>
      <c r="K4" s="124">
        <f t="shared" ref="K4:K14" si="1">SUM(G4:J4)</f>
        <v>5585.14</v>
      </c>
    </row>
    <row r="5" spans="1:11" x14ac:dyDescent="0.25">
      <c r="A5" s="87" t="s">
        <v>167</v>
      </c>
      <c r="B5" s="123">
        <f>' 2011-2026'!$M$200</f>
        <v>88547.91</v>
      </c>
      <c r="C5" s="123">
        <f>' 2011-2026'!N200</f>
        <v>2180</v>
      </c>
      <c r="D5" s="123">
        <f>' 2011-2026'!O200</f>
        <v>169640</v>
      </c>
      <c r="E5" s="123">
        <f>' 2011-2026'!P200</f>
        <v>0</v>
      </c>
      <c r="F5" s="126">
        <f t="shared" si="0"/>
        <v>260367.91</v>
      </c>
      <c r="G5" s="124">
        <v>0</v>
      </c>
      <c r="H5" s="124">
        <v>15865</v>
      </c>
      <c r="I5" s="124">
        <v>0</v>
      </c>
      <c r="J5" s="124">
        <v>0</v>
      </c>
      <c r="K5" s="124">
        <f t="shared" si="1"/>
        <v>15865</v>
      </c>
    </row>
    <row r="6" spans="1:11" x14ac:dyDescent="0.25">
      <c r="A6" s="87" t="s">
        <v>168</v>
      </c>
      <c r="B6" s="123">
        <f>' 2011-2026'!$M$201</f>
        <v>36334.089999999997</v>
      </c>
      <c r="C6" s="123">
        <f>' 2011-2026'!N201</f>
        <v>10000</v>
      </c>
      <c r="D6" s="123">
        <f>' 2011-2026'!O201</f>
        <v>0</v>
      </c>
      <c r="E6" s="123">
        <f>' 2011-2026'!P201</f>
        <v>0</v>
      </c>
      <c r="F6" s="126">
        <f t="shared" si="0"/>
        <v>46334.09</v>
      </c>
      <c r="G6" s="124">
        <v>0</v>
      </c>
      <c r="H6" s="124">
        <v>0</v>
      </c>
      <c r="I6" s="124">
        <v>0</v>
      </c>
      <c r="J6" s="124">
        <v>0</v>
      </c>
      <c r="K6" s="124">
        <f t="shared" si="1"/>
        <v>0</v>
      </c>
    </row>
    <row r="7" spans="1:11" x14ac:dyDescent="0.25">
      <c r="A7" s="87" t="s">
        <v>169</v>
      </c>
      <c r="B7" s="123">
        <f>' 2011-2026'!$M$202</f>
        <v>45797.8</v>
      </c>
      <c r="C7" s="123">
        <f>' 2011-2026'!N202</f>
        <v>0</v>
      </c>
      <c r="D7" s="123">
        <f>' 2011-2026'!O202</f>
        <v>1420</v>
      </c>
      <c r="E7" s="123">
        <f>' 2011-2026'!P202</f>
        <v>0</v>
      </c>
      <c r="F7" s="126">
        <f t="shared" si="0"/>
        <v>47217.8</v>
      </c>
      <c r="G7" s="124">
        <v>109661.56</v>
      </c>
      <c r="H7" s="124">
        <v>0</v>
      </c>
      <c r="I7" s="124">
        <v>0</v>
      </c>
      <c r="J7" s="124">
        <v>44411.76</v>
      </c>
      <c r="K7" s="124">
        <f t="shared" si="1"/>
        <v>154073.32</v>
      </c>
    </row>
    <row r="8" spans="1:11" x14ac:dyDescent="0.25">
      <c r="A8" s="87" t="s">
        <v>170</v>
      </c>
      <c r="B8" s="123">
        <f>' 2011-2026'!$M$203</f>
        <v>66020.17</v>
      </c>
      <c r="C8" s="123">
        <f>' 2011-2026'!N203</f>
        <v>880</v>
      </c>
      <c r="D8" s="123">
        <f>' 2011-2026'!O203</f>
        <v>21848.799999999999</v>
      </c>
      <c r="E8" s="123">
        <f>' 2011-2026'!P203</f>
        <v>0</v>
      </c>
      <c r="F8" s="126">
        <f t="shared" si="0"/>
        <v>88748.97</v>
      </c>
      <c r="G8" s="124">
        <v>59361.33</v>
      </c>
      <c r="H8" s="124">
        <v>0</v>
      </c>
      <c r="I8" s="124">
        <v>12158.81</v>
      </c>
      <c r="J8" s="124">
        <v>26588.240000000002</v>
      </c>
      <c r="K8" s="124">
        <f t="shared" si="1"/>
        <v>98108.38</v>
      </c>
    </row>
    <row r="9" spans="1:11" x14ac:dyDescent="0.25">
      <c r="A9" s="87" t="s">
        <v>171</v>
      </c>
      <c r="B9" s="123">
        <f>' 2011-2026'!$M$204</f>
        <v>273434.59999999998</v>
      </c>
      <c r="C9" s="123">
        <f>' 2011-2026'!N204</f>
        <v>16251</v>
      </c>
      <c r="D9" s="123">
        <f>' 2011-2026'!O204</f>
        <v>3080</v>
      </c>
      <c r="E9" s="123">
        <f>' 2011-2026'!P204</f>
        <v>0</v>
      </c>
      <c r="F9" s="126">
        <f t="shared" si="0"/>
        <v>292765.59999999998</v>
      </c>
      <c r="G9" s="124">
        <v>100914.29</v>
      </c>
      <c r="H9" s="124">
        <v>12300.04</v>
      </c>
      <c r="I9" s="124">
        <v>84211</v>
      </c>
      <c r="J9" s="124">
        <v>700</v>
      </c>
      <c r="K9" s="124">
        <f t="shared" si="1"/>
        <v>198125.33</v>
      </c>
    </row>
    <row r="10" spans="1:11" x14ac:dyDescent="0.25">
      <c r="A10" s="87" t="s">
        <v>172</v>
      </c>
      <c r="B10" s="123">
        <f>' 2011-2026'!$M$205</f>
        <v>0</v>
      </c>
      <c r="C10" s="123">
        <f>' 2011-2026'!N205</f>
        <v>0</v>
      </c>
      <c r="D10" s="123">
        <f>' 2011-2026'!O205</f>
        <v>0</v>
      </c>
      <c r="E10" s="123">
        <f>' 2011-2026'!P205</f>
        <v>0</v>
      </c>
      <c r="F10" s="126">
        <f t="shared" si="0"/>
        <v>0</v>
      </c>
      <c r="G10" s="124">
        <v>19872.12</v>
      </c>
      <c r="H10" s="124">
        <v>834.46</v>
      </c>
      <c r="I10" s="124">
        <v>8214</v>
      </c>
      <c r="J10" s="124">
        <v>1880</v>
      </c>
      <c r="K10" s="124">
        <f t="shared" si="1"/>
        <v>30800.579999999998</v>
      </c>
    </row>
    <row r="11" spans="1:11" x14ac:dyDescent="0.25">
      <c r="A11" s="87" t="s">
        <v>173</v>
      </c>
      <c r="B11" s="123">
        <f>' 2011-2026'!$M$206</f>
        <v>0</v>
      </c>
      <c r="C11" s="123">
        <f>' 2011-2026'!N206</f>
        <v>0</v>
      </c>
      <c r="D11" s="123">
        <f>' 2011-2026'!O206</f>
        <v>0</v>
      </c>
      <c r="E11" s="123">
        <f>' 2011-2026'!P206</f>
        <v>0</v>
      </c>
      <c r="F11" s="126">
        <f t="shared" si="0"/>
        <v>0</v>
      </c>
      <c r="G11" s="124">
        <v>49278.2</v>
      </c>
      <c r="H11" s="124">
        <v>0</v>
      </c>
      <c r="I11" s="124">
        <v>0</v>
      </c>
      <c r="J11" s="124">
        <v>11850.01</v>
      </c>
      <c r="K11" s="124">
        <f t="shared" si="1"/>
        <v>61128.21</v>
      </c>
    </row>
    <row r="12" spans="1:11" x14ac:dyDescent="0.25">
      <c r="A12" s="87" t="s">
        <v>174</v>
      </c>
      <c r="B12" s="123">
        <f>' 2011-2026'!$M$207</f>
        <v>0</v>
      </c>
      <c r="C12" s="123">
        <f>' 2011-2026'!N207</f>
        <v>0</v>
      </c>
      <c r="D12" s="123">
        <f>' 2011-2026'!O207</f>
        <v>0</v>
      </c>
      <c r="E12" s="123">
        <f>' 2011-2026'!P207</f>
        <v>0</v>
      </c>
      <c r="F12" s="126">
        <f t="shared" si="0"/>
        <v>0</v>
      </c>
      <c r="G12" s="124"/>
      <c r="H12" s="124"/>
      <c r="I12" s="124"/>
      <c r="J12" s="124"/>
      <c r="K12" s="124">
        <f t="shared" si="1"/>
        <v>0</v>
      </c>
    </row>
    <row r="13" spans="1:11" x14ac:dyDescent="0.25">
      <c r="A13" s="87" t="s">
        <v>175</v>
      </c>
      <c r="B13" s="123">
        <f>' 2011-2026'!$M$208</f>
        <v>0</v>
      </c>
      <c r="C13" s="123">
        <f>' 2011-2026'!N208</f>
        <v>0</v>
      </c>
      <c r="D13" s="123">
        <f>' 2011-2026'!O208</f>
        <v>0</v>
      </c>
      <c r="E13" s="123">
        <f>' 2011-2026'!P208</f>
        <v>0</v>
      </c>
      <c r="F13" s="126">
        <f t="shared" si="0"/>
        <v>0</v>
      </c>
      <c r="G13" s="124"/>
      <c r="H13" s="124"/>
      <c r="I13" s="124"/>
      <c r="J13" s="124"/>
      <c r="K13" s="124">
        <f t="shared" si="1"/>
        <v>0</v>
      </c>
    </row>
    <row r="14" spans="1:11" x14ac:dyDescent="0.25">
      <c r="A14" s="87" t="s">
        <v>176</v>
      </c>
      <c r="B14" s="123">
        <f>' 2011-2026'!$M$209</f>
        <v>0</v>
      </c>
      <c r="C14" s="123">
        <f>' 2011-2026'!N209</f>
        <v>0</v>
      </c>
      <c r="D14" s="123">
        <f>' 2011-2026'!O209</f>
        <v>0</v>
      </c>
      <c r="E14" s="123">
        <f>' 2011-2026'!P209</f>
        <v>0</v>
      </c>
      <c r="F14" s="126">
        <f t="shared" si="0"/>
        <v>0</v>
      </c>
      <c r="G14" s="124"/>
      <c r="H14" s="124"/>
      <c r="I14" s="124"/>
      <c r="J14" s="124"/>
      <c r="K14" s="124">
        <f t="shared" si="1"/>
        <v>0</v>
      </c>
    </row>
    <row r="15" spans="1:11" x14ac:dyDescent="0.25">
      <c r="B15" s="9">
        <f t="shared" ref="B15:K15" si="2">SUM(B3:B14)</f>
        <v>1144091.1100000001</v>
      </c>
      <c r="C15" s="9">
        <f t="shared" si="2"/>
        <v>58230.19</v>
      </c>
      <c r="D15" s="9">
        <f t="shared" si="2"/>
        <v>233638.8</v>
      </c>
      <c r="E15" s="9">
        <f t="shared" si="2"/>
        <v>0</v>
      </c>
      <c r="F15" s="9">
        <f t="shared" si="2"/>
        <v>1435960.1</v>
      </c>
      <c r="G15" s="9">
        <f t="shared" si="2"/>
        <v>343079.5</v>
      </c>
      <c r="H15" s="9">
        <f t="shared" si="2"/>
        <v>30592.639999999999</v>
      </c>
      <c r="I15" s="9">
        <f t="shared" si="2"/>
        <v>104973.81</v>
      </c>
      <c r="J15" s="9">
        <f t="shared" si="2"/>
        <v>243480.42</v>
      </c>
      <c r="K15" s="9">
        <f t="shared" si="2"/>
        <v>722126.36999999988</v>
      </c>
    </row>
    <row r="16" spans="1:11" x14ac:dyDescent="0.25">
      <c r="B16" s="8"/>
      <c r="C16" s="8"/>
      <c r="D16" s="8"/>
      <c r="E16" s="8"/>
    </row>
    <row r="17" spans="2:6" x14ac:dyDescent="0.25">
      <c r="B17" s="8"/>
      <c r="C17" s="8"/>
      <c r="D17" s="8"/>
      <c r="E17" s="8"/>
    </row>
    <row r="18" spans="2:6" x14ac:dyDescent="0.25">
      <c r="B18" s="8">
        <f>' 2011-2026'!M210</f>
        <v>1144091.1100000001</v>
      </c>
      <c r="C18" s="8">
        <f>' 2011-2026'!N210</f>
        <v>58230.19</v>
      </c>
      <c r="D18" s="8">
        <f>' 2011-2026'!O210</f>
        <v>233638.8</v>
      </c>
      <c r="E18" s="8">
        <f>' 2011-2026'!P210</f>
        <v>0</v>
      </c>
      <c r="F18" s="18">
        <f>' 2011-2026'!L210</f>
        <v>1435960.1</v>
      </c>
    </row>
    <row r="19" spans="2:6" x14ac:dyDescent="0.25">
      <c r="B19" s="8"/>
      <c r="C19" s="8"/>
      <c r="D19" s="8"/>
      <c r="E19" s="8"/>
    </row>
    <row r="20" spans="2:6" x14ac:dyDescent="0.25">
      <c r="B20" s="8"/>
      <c r="C20" s="8"/>
      <c r="D20" s="8"/>
      <c r="E20" s="8"/>
    </row>
    <row r="21" spans="2:6" x14ac:dyDescent="0.25">
      <c r="B21" s="8">
        <f>B15-B18</f>
        <v>0</v>
      </c>
      <c r="C21" s="8">
        <f>C15-C18</f>
        <v>0</v>
      </c>
      <c r="D21" s="8">
        <f>D15-D18</f>
        <v>0</v>
      </c>
      <c r="E21" s="8">
        <f>E15-E18</f>
        <v>0</v>
      </c>
      <c r="F21" s="8">
        <f>F15-F18</f>
        <v>0</v>
      </c>
    </row>
    <row r="24" spans="2:6" x14ac:dyDescent="0.25">
      <c r="C24" s="8"/>
    </row>
    <row r="25" spans="2:6" x14ac:dyDescent="0.25">
      <c r="B25" t="s">
        <v>181</v>
      </c>
      <c r="C25" s="8">
        <f>K15</f>
        <v>722126.36999999988</v>
      </c>
      <c r="D25" s="127"/>
      <c r="E25" s="128">
        <v>37</v>
      </c>
    </row>
    <row r="26" spans="2:6" x14ac:dyDescent="0.25">
      <c r="B26" t="s">
        <v>81</v>
      </c>
      <c r="C26" s="8">
        <f>F15</f>
        <v>1435960.1</v>
      </c>
      <c r="E26" s="128">
        <f>100-E25</f>
        <v>63</v>
      </c>
    </row>
    <row r="27" spans="2:6" x14ac:dyDescent="0.25">
      <c r="E27" s="128">
        <f>100-E26</f>
        <v>37</v>
      </c>
    </row>
    <row r="49" spans="2:9" x14ac:dyDescent="0.25">
      <c r="C49" s="129" t="s">
        <v>125</v>
      </c>
      <c r="D49" s="129" t="s">
        <v>182</v>
      </c>
      <c r="E49" s="129" t="s">
        <v>187</v>
      </c>
      <c r="F49" s="129" t="s">
        <v>188</v>
      </c>
    </row>
    <row r="50" spans="2:9" x14ac:dyDescent="0.25">
      <c r="B50" s="87" t="s">
        <v>183</v>
      </c>
      <c r="C50" s="130">
        <v>25.751614019968599</v>
      </c>
      <c r="D50" s="131">
        <v>293801.3</v>
      </c>
      <c r="E50" s="131">
        <v>163521.29999999999</v>
      </c>
      <c r="F50" s="131">
        <f>Objetivos!D2</f>
        <v>435908.24</v>
      </c>
      <c r="H50" s="134"/>
      <c r="I50" s="134"/>
    </row>
    <row r="51" spans="2:9" x14ac:dyDescent="0.25">
      <c r="B51" s="87" t="s">
        <v>184</v>
      </c>
      <c r="C51" s="130">
        <v>41.493805424002566</v>
      </c>
      <c r="D51" s="131">
        <v>30592.639999999999</v>
      </c>
      <c r="E51" s="131">
        <v>25835.690000000002</v>
      </c>
      <c r="F51" s="131">
        <f>Objetivos!D3</f>
        <v>27851.329999999998</v>
      </c>
      <c r="H51" s="134"/>
      <c r="I51" s="134"/>
    </row>
    <row r="52" spans="2:9" x14ac:dyDescent="0.25">
      <c r="B52" s="87" t="s">
        <v>185</v>
      </c>
      <c r="C52" s="130">
        <v>37.844229115940493</v>
      </c>
      <c r="D52" s="131">
        <v>104973.81</v>
      </c>
      <c r="E52" s="131">
        <v>19249.7</v>
      </c>
      <c r="F52" s="131">
        <f>Objetivos!D4</f>
        <v>183431.66999999998</v>
      </c>
      <c r="H52" s="134"/>
      <c r="I52" s="134"/>
    </row>
    <row r="53" spans="2:9" ht="15.75" thickBot="1" x14ac:dyDescent="0.3">
      <c r="B53" s="87" t="s">
        <v>186</v>
      </c>
      <c r="C53" s="130">
        <v>79.512850006275045</v>
      </c>
      <c r="D53" s="132">
        <v>231630.41</v>
      </c>
      <c r="E53" s="132">
        <v>60053.289999999994</v>
      </c>
      <c r="F53" s="132">
        <f>Objetivos!D5</f>
        <v>0</v>
      </c>
      <c r="H53" s="134"/>
      <c r="I53" s="134"/>
    </row>
    <row r="54" spans="2:9" ht="15.75" thickTop="1" x14ac:dyDescent="0.25">
      <c r="D54" s="133">
        <f>SUM(D50:D53)</f>
        <v>660998.16</v>
      </c>
      <c r="E54" s="133">
        <f>SUM(E50:E53)</f>
        <v>268659.98</v>
      </c>
      <c r="F54" s="133">
        <f>SUM(F50:F53)</f>
        <v>647191.24</v>
      </c>
      <c r="H54" s="134"/>
    </row>
  </sheetData>
  <mergeCells count="2">
    <mergeCell ref="B1:F1"/>
    <mergeCell ref="G1:K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</vt:i4>
      </vt:variant>
    </vt:vector>
  </HeadingPairs>
  <TitlesOfParts>
    <vt:vector size="12" baseType="lpstr">
      <vt:lpstr>MIN</vt:lpstr>
      <vt:lpstr>OIL</vt:lpstr>
      <vt:lpstr>IND</vt:lpstr>
      <vt:lpstr>SFY</vt:lpstr>
      <vt:lpstr> 2011-2026</vt:lpstr>
      <vt:lpstr>Objetivos</vt:lpstr>
      <vt:lpstr>Objetivos Com.</vt:lpstr>
      <vt:lpstr>Admin y Com</vt:lpstr>
      <vt:lpstr>' 2011-2026'!Área_de_impresión</vt:lpstr>
      <vt:lpstr>Objetivos!Área_de_impresión</vt:lpstr>
      <vt:lpstr>OIL!Área_de_impresión</vt:lpstr>
      <vt:lpstr>SFY!Área_de_impresión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cp:lastPrinted>2018-09-03T14:56:09Z</cp:lastPrinted>
  <dcterms:created xsi:type="dcterms:W3CDTF">2011-08-16T17:38:46Z</dcterms:created>
  <dcterms:modified xsi:type="dcterms:W3CDTF">2026-08-03T14:13:29Z</dcterms:modified>
</cp:coreProperties>
</file>