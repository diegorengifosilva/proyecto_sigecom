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  <sheet xmlns:r="http://schemas.openxmlformats.org/officeDocument/2006/relationships" name="OIL" sheetId="2" state="visible" r:id="rId2"/>
    <sheet xmlns:r="http://schemas.openxmlformats.org/officeDocument/2006/relationships" name="IND" sheetId="3" state="visible" r:id="rId3"/>
    <sheet xmlns:r="http://schemas.openxmlformats.org/officeDocument/2006/relationships" name="SFY" sheetId="4" state="visible" r:id="rId4"/>
    <sheet xmlns:r="http://schemas.openxmlformats.org/officeDocument/2006/relationships" name="2012 - 2026" sheetId="5" state="visible" r:id="rId5"/>
    <sheet xmlns:r="http://schemas.openxmlformats.org/officeDocument/2006/relationships" name="Objetivos" sheetId="6" state="visible" r:id="rId6"/>
    <sheet xmlns:r="http://schemas.openxmlformats.org/officeDocument/2006/relationships" name="Objetivos Com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 #,##0.00"/>
    <numFmt numFmtId="165" formatCode="dd-mm-yyyy hh:mm"/>
    <numFmt numFmtId="166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9"/>
    </font>
    <font>
      <name val="Segoe UI"/>
      <i val="1"/>
      <sz val="9"/>
    </font>
    <font>
      <name val="Segoe UI"/>
      <color rgb="0027272A"/>
      <sz val="9"/>
    </font>
    <font>
      <name val="Segoe UI"/>
      <b val="1"/>
      <color rgb="0027272A"/>
      <sz val="9"/>
    </font>
    <font>
      <name val="Segoe UI"/>
      <b val="1"/>
      <color rgb="001E293B"/>
      <sz val="9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37573"/>
        <bgColor rgb="00237573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13">
    <border>
      <left/>
      <right/>
      <top/>
      <bottom/>
      <diagonal/>
    </border>
    <border>
      <bottom style="medium">
        <color rgb="00000000"/>
      </bottom>
    </border>
    <border>
      <top style="thin">
        <color rgb="00000000"/>
      </top>
      <bottom style="double">
        <color rgb="00000000"/>
      </bottom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bottom style="thin">
        <color rgb="00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 wrapText="1"/>
    </xf>
    <xf numFmtId="3" fontId="5" fillId="3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right" vertical="center" wrapText="1"/>
    </xf>
    <xf numFmtId="0" fontId="0" fillId="0" borderId="5" pivotButton="0" quotePrefix="0" xfId="0"/>
    <xf numFmtId="0" fontId="5" fillId="0" borderId="4" applyAlignment="1" pivotButton="0" quotePrefix="0" xfId="0">
      <alignment horizontal="left" vertical="center" wrapText="1"/>
    </xf>
    <xf numFmtId="165" fontId="7" fillId="0" borderId="4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64" fontId="4" fillId="0" borderId="4" applyAlignment="1" pivotButton="0" quotePrefix="0" xfId="0">
      <alignment horizontal="right"/>
    </xf>
    <xf numFmtId="0" fontId="4" fillId="0" borderId="4" pivotButton="0" quotePrefix="0" xfId="0"/>
    <xf numFmtId="0" fontId="11" fillId="3" borderId="2" applyAlignment="1" pivotButton="0" quotePrefix="0" xfId="0">
      <alignment horizontal="center"/>
    </xf>
    <xf numFmtId="164" fontId="11" fillId="3" borderId="2" applyAlignment="1" pivotButton="0" quotePrefix="0" xfId="0">
      <alignment horizontal="right"/>
    </xf>
    <xf numFmtId="0" fontId="1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right" vertical="center" wrapText="1"/>
    </xf>
    <xf numFmtId="0" fontId="8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right" vertical="center"/>
    </xf>
    <xf numFmtId="0" fontId="8" fillId="4" borderId="6" applyAlignment="1" pivotButton="0" quotePrefix="0" xfId="0">
      <alignment horizontal="center" vertical="center" wrapText="1"/>
    </xf>
    <xf numFmtId="164" fontId="8" fillId="4" borderId="6" applyAlignment="1" pivotButton="0" quotePrefix="0" xfId="0">
      <alignment horizontal="right" vertical="center" wrapText="1"/>
    </xf>
    <xf numFmtId="0" fontId="8" fillId="4" borderId="6" applyAlignment="1" pivotButton="0" quotePrefix="0" xfId="0">
      <alignment horizontal="center" vertical="center"/>
    </xf>
    <xf numFmtId="164" fontId="8" fillId="4" borderId="6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right" vertical="center" wrapText="1"/>
    </xf>
    <xf numFmtId="0" fontId="6" fillId="2" borderId="7" applyAlignment="1" pivotButton="0" quotePrefix="0" xfId="0">
      <alignment horizontal="center" vertical="center"/>
    </xf>
    <xf numFmtId="164" fontId="9" fillId="0" borderId="6" applyAlignment="1" pivotButton="0" quotePrefix="0" xfId="0">
      <alignment horizontal="right" vertical="center"/>
    </xf>
    <xf numFmtId="0" fontId="2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10" fillId="4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right" vertical="center"/>
    </xf>
    <xf numFmtId="166" fontId="8" fillId="4" borderId="6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right" vertical="center"/>
    </xf>
    <xf numFmtId="0" fontId="6" fillId="2" borderId="6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0" borderId="6" applyAlignment="1" pivotButton="0" quotePrefix="0" xfId="0">
      <alignment horizontal="left" vertical="center"/>
    </xf>
    <xf numFmtId="164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  <xf numFmtId="166" fontId="4" fillId="0" borderId="6" applyAlignment="1" pivotButton="0" quotePrefix="0" xfId="0">
      <alignment horizontal="right" vertical="center"/>
    </xf>
    <xf numFmtId="0" fontId="4" fillId="4" borderId="6" applyAlignment="1" pivotButton="0" quotePrefix="0" xfId="0">
      <alignment horizontal="left" vertical="center"/>
    </xf>
    <xf numFmtId="2" fontId="4" fillId="4" borderId="6" applyAlignment="1" pivotButton="0" quotePrefix="0" xfId="0">
      <alignment horizontal="center" vertical="center"/>
    </xf>
    <xf numFmtId="164" fontId="4" fillId="4" borderId="6" applyAlignment="1" pivotButton="0" quotePrefix="0" xfId="0">
      <alignment horizontal="right" vertical="center"/>
    </xf>
    <xf numFmtId="166" fontId="4" fillId="4" borderId="6" applyAlignment="1" pivotButton="0" quotePrefix="0" xfId="0">
      <alignment horizontal="right" vertical="center"/>
    </xf>
    <xf numFmtId="0" fontId="0" fillId="0" borderId="11" pivotButton="0" quotePrefix="0" xfId="0"/>
    <xf numFmtId="0" fontId="5" fillId="3" borderId="8" applyAlignment="1" pivotButton="0" quotePrefix="0" xfId="0">
      <alignment horizontal="left"/>
    </xf>
    <xf numFmtId="0" fontId="5" fillId="3" borderId="8" pivotButton="0" quotePrefix="0" xfId="0"/>
    <xf numFmtId="2" fontId="5" fillId="3" borderId="8" applyAlignment="1" pivotButton="0" quotePrefix="0" xfId="0">
      <alignment horizontal="center"/>
    </xf>
    <xf numFmtId="164" fontId="5" fillId="3" borderId="8" applyAlignment="1" pivotButton="0" quotePrefix="0" xfId="0">
      <alignment horizontal="right"/>
    </xf>
    <xf numFmtId="166" fontId="5" fillId="3" borderId="8" applyAlignment="1" pivotButton="0" quotePrefix="0" xfId="0">
      <alignment horizontal="right"/>
    </xf>
    <xf numFmtId="0" fontId="5" fillId="0" borderId="12" applyAlignment="1" pivotButton="0" quotePrefix="0" xfId="0">
      <alignment horizontal="left"/>
    </xf>
    <xf numFmtId="0" fontId="5" fillId="0" borderId="12" applyAlignment="1" pivotButton="0" quotePrefix="0" xfId="0">
      <alignment horizontal="right"/>
    </xf>
    <xf numFmtId="0" fontId="4" fillId="0" borderId="6" applyAlignment="1" pivotButton="0" quotePrefix="0" xfId="0">
      <alignment horizontal="left"/>
    </xf>
    <xf numFmtId="164" fontId="4" fillId="0" borderId="6" applyAlignment="1" pivotButton="0" quotePrefix="0" xfId="0">
      <alignment horizontal="right"/>
    </xf>
    <xf numFmtId="166" fontId="4" fillId="0" borderId="6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164" fontId="5" fillId="3" borderId="2" applyAlignment="1" pivotButton="0" quotePrefix="0" xfId="0">
      <alignment horizontal="right"/>
    </xf>
    <xf numFmtId="166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35" customWidth="1" min="4" max="4"/>
    <col width="13" customWidth="1" min="5" max="5"/>
    <col width="16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MINERÍA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TOTAL</t>
        </is>
      </c>
      <c r="B3" s="5" t="inlineStr"/>
      <c r="C3" s="5" t="inlineStr"/>
      <c r="D3" s="5" t="inlineStr"/>
      <c r="E3" s="5" t="inlineStr"/>
      <c r="F3" s="5" t="inlineStr"/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5" t="inlineStr"/>
      <c r="M3" s="3" t="n"/>
      <c r="N3" s="7" t="n"/>
      <c r="O3" s="8">
        <f>SUM(G3:G2)</f>
        <v/>
      </c>
      <c r="P3" s="9">
        <f>COUNTA(A3:A2)</f>
        <v/>
      </c>
      <c r="Q3" s="3" t="n"/>
    </row>
    <row r="4">
      <c r="M4" s="3" t="n"/>
      <c r="N4" s="3" t="n"/>
      <c r="O4" s="3" t="n"/>
      <c r="P4" s="3" t="n"/>
      <c r="Q4" s="3" t="n"/>
    </row>
    <row r="5">
      <c r="M5" s="3" t="n"/>
      <c r="N5" s="10" t="inlineStr">
        <is>
          <t>Concepto</t>
        </is>
      </c>
      <c r="O5" s="10" t="inlineStr">
        <is>
          <t>Monto</t>
        </is>
      </c>
      <c r="P5" s="3" t="n"/>
      <c r="Q5" s="3" t="n"/>
    </row>
    <row r="6">
      <c r="M6" s="3" t="n"/>
      <c r="N6" s="11" t="inlineStr">
        <is>
          <t>Costo</t>
        </is>
      </c>
      <c r="O6" s="12">
        <f>SUM(H3:H2)</f>
        <v/>
      </c>
      <c r="Q6" s="3" t="n"/>
    </row>
    <row r="7">
      <c r="M7" s="3" t="n"/>
      <c r="N7" s="11" t="inlineStr">
        <is>
          <t>HH Propia</t>
        </is>
      </c>
      <c r="O7" s="12">
        <f>SUM(I3:I2)</f>
        <v/>
      </c>
      <c r="Q7" s="3" t="n"/>
    </row>
    <row r="8">
      <c r="M8" s="3" t="n"/>
      <c r="N8" s="11" t="inlineStr">
        <is>
          <t>Imprevisto</t>
        </is>
      </c>
      <c r="O8" s="12">
        <f>SUM(J3:J2)</f>
        <v/>
      </c>
      <c r="Q8" s="3" t="n"/>
    </row>
    <row r="9">
      <c r="M9" s="3" t="n"/>
      <c r="N9" s="11" t="inlineStr">
        <is>
          <t>Utilidad</t>
        </is>
      </c>
      <c r="O9" s="12">
        <f>SUM(K3:K2)</f>
        <v/>
      </c>
      <c r="Q9" s="3" t="n"/>
    </row>
    <row r="10">
      <c r="M10" s="3" t="n"/>
      <c r="N10" s="13" t="n"/>
      <c r="O10" s="8">
        <f>SUM(O6:O9)</f>
        <v/>
      </c>
      <c r="Q10" s="3" t="n"/>
    </row>
    <row r="11">
      <c r="M11" s="3" t="n"/>
      <c r="Q11" s="3" t="n"/>
    </row>
    <row r="12">
      <c r="M12" s="3" t="n"/>
      <c r="N12" s="14" t="inlineStr">
        <is>
          <t>KPI MIN</t>
        </is>
      </c>
      <c r="O12" s="8">
        <f>O7+O9</f>
        <v/>
      </c>
      <c r="Q12" s="3" t="n"/>
    </row>
    <row r="13">
      <c r="M13" s="3" t="n"/>
      <c r="N13" s="15">
        <f>NOW()</f>
        <v/>
      </c>
      <c r="Q13" s="3" t="n"/>
    </row>
    <row r="14">
      <c r="M14" s="3" t="n"/>
      <c r="Q14" s="3" t="n"/>
    </row>
    <row r="15">
      <c r="M15" s="3" t="n"/>
      <c r="Q15" s="3" t="n"/>
    </row>
    <row r="16">
      <c r="M16" s="3" t="n"/>
      <c r="Q16" s="3" t="n"/>
    </row>
    <row r="17">
      <c r="M17" s="3" t="n"/>
      <c r="Q17" s="3" t="n"/>
    </row>
    <row r="18">
      <c r="M18" s="3" t="n"/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35" customWidth="1" min="4" max="4"/>
    <col width="13" customWidth="1" min="5" max="5"/>
    <col width="16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PETROQUÍMICA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TOTAL</t>
        </is>
      </c>
      <c r="B3" s="5" t="inlineStr"/>
      <c r="C3" s="5" t="inlineStr"/>
      <c r="D3" s="5" t="inlineStr"/>
      <c r="E3" s="5" t="inlineStr"/>
      <c r="F3" s="5" t="inlineStr"/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5" t="inlineStr"/>
      <c r="M3" s="3" t="n"/>
      <c r="N3" s="7" t="n"/>
      <c r="O3" s="8">
        <f>SUM(G3:G2)</f>
        <v/>
      </c>
      <c r="P3" s="9">
        <f>COUNTA(A3:A2)</f>
        <v/>
      </c>
      <c r="Q3" s="3" t="n"/>
    </row>
    <row r="4">
      <c r="M4" s="3" t="n"/>
      <c r="N4" s="3" t="n"/>
      <c r="O4" s="3" t="n"/>
      <c r="P4" s="3" t="n"/>
      <c r="Q4" s="3" t="n"/>
    </row>
    <row r="5">
      <c r="M5" s="3" t="n"/>
      <c r="N5" s="10" t="inlineStr">
        <is>
          <t>Concepto</t>
        </is>
      </c>
      <c r="O5" s="10" t="inlineStr">
        <is>
          <t>Monto</t>
        </is>
      </c>
      <c r="Q5" s="3" t="n"/>
    </row>
    <row r="6">
      <c r="M6" s="3" t="n"/>
      <c r="N6" s="11" t="inlineStr">
        <is>
          <t>costo</t>
        </is>
      </c>
      <c r="O6" s="12">
        <f>SUM(H3:H2)</f>
        <v/>
      </c>
      <c r="Q6" s="3" t="n"/>
    </row>
    <row r="7">
      <c r="M7" s="3" t="n"/>
      <c r="N7" s="11" t="inlineStr">
        <is>
          <t>HH Propia</t>
        </is>
      </c>
      <c r="O7" s="12">
        <f>SUM(I3:I2)</f>
        <v/>
      </c>
      <c r="Q7" s="3" t="n"/>
    </row>
    <row r="8">
      <c r="M8" s="3" t="n"/>
      <c r="N8" s="11" t="inlineStr">
        <is>
          <t>Imprevisto</t>
        </is>
      </c>
      <c r="O8" s="12">
        <f>SUM(J3:J2)</f>
        <v/>
      </c>
      <c r="Q8" s="3" t="n"/>
    </row>
    <row r="9">
      <c r="M9" s="3" t="n"/>
      <c r="N9" s="11" t="inlineStr">
        <is>
          <t>Utilidad</t>
        </is>
      </c>
      <c r="O9" s="12">
        <f>SUM(K3:K2)</f>
        <v/>
      </c>
      <c r="Q9" s="3" t="n"/>
    </row>
    <row r="10">
      <c r="M10" s="3" t="n"/>
      <c r="N10" s="13" t="n"/>
      <c r="O10" s="8">
        <f>SUM(O6:O9)</f>
        <v/>
      </c>
      <c r="Q10" s="3" t="n"/>
    </row>
    <row r="11">
      <c r="M11" s="3" t="n"/>
      <c r="Q11" s="3" t="n"/>
    </row>
    <row r="12">
      <c r="M12" s="3" t="n"/>
      <c r="N12" s="14" t="inlineStr">
        <is>
          <t>KPI OIL</t>
        </is>
      </c>
      <c r="O12" s="8">
        <f>O7+O9</f>
        <v/>
      </c>
      <c r="Q12" s="3" t="n"/>
    </row>
    <row r="13">
      <c r="M13" s="3" t="n"/>
      <c r="N13" s="15">
        <f>NOW()</f>
        <v/>
      </c>
      <c r="Q13" s="3" t="n"/>
    </row>
    <row r="14">
      <c r="M14" s="3" t="n"/>
      <c r="Q14" s="3" t="n"/>
    </row>
    <row r="15">
      <c r="M15" s="3" t="n"/>
      <c r="Q15" s="3" t="n"/>
    </row>
    <row r="16">
      <c r="M16" s="3" t="n"/>
      <c r="Q16" s="3" t="n"/>
    </row>
    <row r="17">
      <c r="M17" s="3" t="n"/>
      <c r="Q17" s="3" t="n"/>
    </row>
    <row r="18">
      <c r="M18" s="3" t="n"/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35" customWidth="1" min="4" max="4"/>
    <col width="13" customWidth="1" min="5" max="5"/>
    <col width="16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INDUSTRIA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 O/C</t>
        </is>
      </c>
      <c r="P2" s="2" t="inlineStr">
        <is>
          <t>Cantidad</t>
        </is>
      </c>
      <c r="Q2" s="3" t="n"/>
    </row>
    <row r="3">
      <c r="A3" s="4" t="inlineStr">
        <is>
          <t>TOTAL</t>
        </is>
      </c>
      <c r="B3" s="5" t="inlineStr"/>
      <c r="C3" s="5" t="inlineStr"/>
      <c r="D3" s="5" t="inlineStr"/>
      <c r="E3" s="5" t="inlineStr"/>
      <c r="F3" s="5" t="inlineStr"/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5" t="inlineStr"/>
      <c r="M3" s="3" t="n"/>
      <c r="N3" s="7" t="n"/>
      <c r="O3" s="8">
        <f>SUM(G3:G2)</f>
        <v/>
      </c>
      <c r="P3" s="9">
        <f>COUNTA(A3:A2)</f>
        <v/>
      </c>
      <c r="Q3" s="3" t="n"/>
    </row>
    <row r="4">
      <c r="M4" s="3" t="n"/>
      <c r="N4" s="3" t="n"/>
      <c r="O4" s="3" t="n"/>
      <c r="P4" s="3" t="n"/>
      <c r="Q4" s="3" t="n"/>
    </row>
    <row r="5">
      <c r="M5" s="3" t="n"/>
      <c r="N5" s="10" t="inlineStr">
        <is>
          <t>Concepto</t>
        </is>
      </c>
      <c r="O5" s="10" t="inlineStr">
        <is>
          <t>Monto</t>
        </is>
      </c>
      <c r="Q5" s="3" t="n"/>
    </row>
    <row r="6">
      <c r="M6" s="3" t="n"/>
      <c r="N6" s="11" t="inlineStr">
        <is>
          <t>costo</t>
        </is>
      </c>
      <c r="O6" s="12">
        <f>SUM(H3:H2)</f>
        <v/>
      </c>
      <c r="Q6" s="3" t="n"/>
    </row>
    <row r="7">
      <c r="M7" s="3" t="n"/>
      <c r="N7" s="11" t="inlineStr">
        <is>
          <t>HH Propia</t>
        </is>
      </c>
      <c r="O7" s="12">
        <f>SUM(I3:I2)</f>
        <v/>
      </c>
      <c r="Q7" s="3" t="n"/>
    </row>
    <row r="8">
      <c r="M8" s="3" t="n"/>
      <c r="N8" s="11" t="inlineStr">
        <is>
          <t>Imprevisto</t>
        </is>
      </c>
      <c r="O8" s="12">
        <f>SUM(J3:J2)</f>
        <v/>
      </c>
      <c r="Q8" s="3" t="n"/>
    </row>
    <row r="9">
      <c r="M9" s="3" t="n"/>
      <c r="N9" s="11" t="inlineStr">
        <is>
          <t>Utilidad</t>
        </is>
      </c>
      <c r="O9" s="12">
        <f>SUM(K3:K2)</f>
        <v/>
      </c>
      <c r="Q9" s="3" t="n"/>
    </row>
    <row r="10">
      <c r="M10" s="3" t="n"/>
      <c r="N10" s="13" t="n"/>
      <c r="O10" s="8">
        <f>SUM(O6:O9)</f>
        <v/>
      </c>
      <c r="Q10" s="3" t="n"/>
    </row>
    <row r="11">
      <c r="M11" s="3" t="n"/>
      <c r="Q11" s="3" t="n"/>
    </row>
    <row r="12">
      <c r="M12" s="3" t="n"/>
      <c r="Q12" s="3" t="n"/>
    </row>
    <row r="13">
      <c r="M13" s="3" t="n"/>
      <c r="N13" s="11" t="inlineStr">
        <is>
          <t>Por Facturar</t>
        </is>
      </c>
      <c r="O13" s="12" t="n">
        <v>0</v>
      </c>
      <c r="Q13" s="3" t="n"/>
    </row>
    <row r="14">
      <c r="M14" s="3" t="n"/>
      <c r="N14" s="11" t="inlineStr">
        <is>
          <t>Facturado</t>
        </is>
      </c>
      <c r="O14" s="12" t="n">
        <v>0</v>
      </c>
      <c r="Q14" s="3" t="n"/>
    </row>
    <row r="15">
      <c r="M15" s="3" t="n"/>
      <c r="N15" s="13" t="n"/>
      <c r="O15" s="8">
        <f>SUM(O13:O14)</f>
        <v/>
      </c>
      <c r="Q15" s="3" t="n"/>
    </row>
    <row r="16">
      <c r="M16" s="3" t="n"/>
      <c r="Q16" s="3" t="n"/>
    </row>
    <row r="17">
      <c r="M17" s="3" t="n"/>
      <c r="N17" s="14" t="inlineStr">
        <is>
          <t>KPI IND</t>
        </is>
      </c>
      <c r="O17" s="8">
        <f>O7+O9</f>
        <v/>
      </c>
      <c r="Q17" s="3" t="n"/>
    </row>
    <row r="18">
      <c r="M18" s="3" t="n"/>
      <c r="N18" s="15">
        <f>NOW()</f>
        <v/>
      </c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6" customWidth="1" min="3" max="3"/>
    <col width="35" customWidth="1" min="4" max="4"/>
    <col width="13" customWidth="1" min="5" max="5"/>
    <col width="16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ORDENES DE COMPRA SEGURIDAD DE MAQUINARIA</t>
        </is>
      </c>
    </row>
    <row r="2">
      <c r="A2" s="2" t="inlineStr">
        <is>
          <t>CÓDIGO</t>
        </is>
      </c>
      <c r="B2" s="2" t="inlineStr">
        <is>
          <t>CLIENTES</t>
        </is>
      </c>
      <c r="C2" s="2" t="inlineStr">
        <is>
          <t>Nº Orden</t>
        </is>
      </c>
      <c r="D2" s="2" t="inlineStr">
        <is>
          <t>PROYECTO</t>
        </is>
      </c>
      <c r="E2" s="2" t="inlineStr">
        <is>
          <t>FECHA O/C</t>
        </is>
      </c>
      <c r="F2" s="2" t="inlineStr">
        <is>
          <t>FECHA ENTREGA</t>
        </is>
      </c>
      <c r="G2" s="2" t="inlineStr">
        <is>
          <t>VALOR PRESUPUESTO $</t>
        </is>
      </c>
      <c r="H2" s="2" t="inlineStr">
        <is>
          <t>COSTO</t>
        </is>
      </c>
      <c r="I2" s="2" t="inlineStr">
        <is>
          <t>HH Propia</t>
        </is>
      </c>
      <c r="J2" s="2" t="inlineStr">
        <is>
          <t>IMPREVISTOS</t>
        </is>
      </c>
      <c r="K2" s="2" t="inlineStr">
        <is>
          <t>UTILIDAD</t>
        </is>
      </c>
      <c r="L2" s="2" t="inlineStr">
        <is>
          <t>Personal</t>
        </is>
      </c>
      <c r="M2" s="3" t="n"/>
      <c r="N2" s="2" t="inlineStr">
        <is>
          <t>Empresa</t>
        </is>
      </c>
      <c r="O2" s="2" t="inlineStr">
        <is>
          <t>Monto</t>
        </is>
      </c>
      <c r="P2" s="2" t="inlineStr">
        <is>
          <t>Cantidad</t>
        </is>
      </c>
      <c r="Q2" s="3" t="n"/>
    </row>
    <row r="3">
      <c r="A3" s="4" t="inlineStr">
        <is>
          <t>TOTAL</t>
        </is>
      </c>
      <c r="B3" s="5" t="inlineStr"/>
      <c r="C3" s="5" t="inlineStr"/>
      <c r="D3" s="5" t="inlineStr"/>
      <c r="E3" s="5" t="inlineStr"/>
      <c r="F3" s="5" t="inlineStr"/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5" t="inlineStr"/>
      <c r="M3" s="3" t="n"/>
      <c r="N3" s="7" t="n"/>
      <c r="O3" s="8">
        <f>SUM(G3:G2)</f>
        <v/>
      </c>
      <c r="P3" s="9">
        <f>COUNTA(A3:A2)</f>
        <v/>
      </c>
      <c r="Q3" s="3" t="n"/>
    </row>
    <row r="4">
      <c r="M4" s="3" t="n"/>
      <c r="N4" s="3" t="n"/>
      <c r="O4" s="3" t="n"/>
      <c r="P4" s="3" t="n"/>
      <c r="Q4" s="3" t="n"/>
    </row>
    <row r="5">
      <c r="M5" s="3" t="n"/>
      <c r="N5" s="10" t="inlineStr">
        <is>
          <t>Concepto</t>
        </is>
      </c>
      <c r="O5" s="10" t="inlineStr">
        <is>
          <t>Monto</t>
        </is>
      </c>
      <c r="Q5" s="3" t="n"/>
    </row>
    <row r="6">
      <c r="M6" s="3" t="n"/>
      <c r="N6" s="11" t="inlineStr">
        <is>
          <t>costo</t>
        </is>
      </c>
      <c r="O6" s="12">
        <f>SUM(H3:H2)</f>
        <v/>
      </c>
      <c r="Q6" s="3" t="n"/>
    </row>
    <row r="7">
      <c r="M7" s="3" t="n"/>
      <c r="N7" s="11" t="inlineStr">
        <is>
          <t>HH Propia</t>
        </is>
      </c>
      <c r="O7" s="12">
        <f>SUM(I3:I2)</f>
        <v/>
      </c>
      <c r="Q7" s="3" t="n"/>
    </row>
    <row r="8">
      <c r="M8" s="3" t="n"/>
      <c r="N8" s="11" t="inlineStr">
        <is>
          <t>Imprevisto</t>
        </is>
      </c>
      <c r="O8" s="12">
        <f>SUM(J3:J2)</f>
        <v/>
      </c>
      <c r="Q8" s="3" t="n"/>
    </row>
    <row r="9">
      <c r="M9" s="3" t="n"/>
      <c r="N9" s="11" t="inlineStr">
        <is>
          <t>Utilidad</t>
        </is>
      </c>
      <c r="O9" s="12">
        <f>SUM(K3:K2)</f>
        <v/>
      </c>
      <c r="Q9" s="3" t="n"/>
    </row>
    <row r="10">
      <c r="M10" s="3" t="n"/>
      <c r="N10" s="13" t="n"/>
      <c r="O10" s="8">
        <f>SUM(O6:O9)</f>
        <v/>
      </c>
      <c r="Q10" s="3" t="n"/>
    </row>
    <row r="11">
      <c r="M11" s="3" t="n"/>
      <c r="Q11" s="3" t="n"/>
    </row>
    <row r="12">
      <c r="M12" s="3" t="n"/>
      <c r="Q12" s="3" t="n"/>
    </row>
    <row r="13">
      <c r="M13" s="3" t="n"/>
      <c r="N13" s="11" t="inlineStr">
        <is>
          <t>Por Facturar</t>
        </is>
      </c>
      <c r="O13" s="12" t="n">
        <v>0</v>
      </c>
      <c r="Q13" s="3" t="n"/>
    </row>
    <row r="14">
      <c r="M14" s="3" t="n"/>
      <c r="N14" s="11" t="inlineStr">
        <is>
          <t>Facturado</t>
        </is>
      </c>
      <c r="O14" s="12" t="n">
        <v>0</v>
      </c>
      <c r="Q14" s="3" t="n"/>
    </row>
    <row r="15">
      <c r="M15" s="3" t="n"/>
      <c r="N15" s="13" t="n"/>
      <c r="O15" s="8">
        <f>SUM(O13:O14)</f>
        <v/>
      </c>
      <c r="Q15" s="3" t="n"/>
    </row>
    <row r="16">
      <c r="M16" s="3" t="n"/>
      <c r="Q16" s="3" t="n"/>
    </row>
    <row r="17">
      <c r="M17" s="3" t="n"/>
      <c r="N17" s="14" t="inlineStr">
        <is>
          <t>KPI SFY</t>
        </is>
      </c>
      <c r="O17" s="8">
        <f>O7+O9</f>
        <v/>
      </c>
      <c r="Q17" s="3" t="n"/>
    </row>
    <row r="18">
      <c r="M18" s="3" t="n"/>
      <c r="N18" s="15">
        <f>NOW()</f>
        <v/>
      </c>
      <c r="Q18" s="3" t="n"/>
    </row>
    <row r="19">
      <c r="M19" s="3" t="n"/>
      <c r="Q19" s="3" t="n"/>
    </row>
    <row r="20">
      <c r="M20" s="3" t="n"/>
      <c r="Q20" s="3" t="n"/>
    </row>
    <row r="21">
      <c r="M21" s="3" t="n"/>
      <c r="Q21" s="3" t="n"/>
    </row>
    <row r="22">
      <c r="M22" s="3" t="n"/>
      <c r="Q22" s="3" t="n"/>
    </row>
    <row r="23">
      <c r="M23" s="3" t="n"/>
      <c r="Q23" s="3" t="n"/>
    </row>
    <row r="24">
      <c r="M24" s="3" t="n"/>
      <c r="Q24" s="3" t="n"/>
    </row>
    <row r="25">
      <c r="M25" s="3" t="n"/>
      <c r="Q25" s="3" t="n"/>
    </row>
    <row r="26">
      <c r="M26" s="3" t="n"/>
      <c r="Q26" s="3" t="n"/>
    </row>
    <row r="27">
      <c r="M27" s="3" t="n"/>
      <c r="Q27" s="3" t="n"/>
    </row>
    <row r="28">
      <c r="M28" s="3" t="n"/>
      <c r="Q28" s="3" t="n"/>
    </row>
    <row r="29">
      <c r="M29" s="3" t="n"/>
      <c r="Q29" s="3" t="n"/>
    </row>
    <row r="30">
      <c r="M30" s="3" t="n"/>
      <c r="Q30" s="3" t="n"/>
    </row>
    <row r="31">
      <c r="M31" s="3" t="n"/>
      <c r="Q31" s="3" t="n"/>
    </row>
    <row r="32">
      <c r="M32" s="3" t="n"/>
      <c r="Q32" s="3" t="n"/>
    </row>
    <row r="33">
      <c r="M33" s="3" t="n"/>
      <c r="Q33" s="3" t="n"/>
    </row>
    <row r="34">
      <c r="M34" s="3" t="n"/>
      <c r="Q34" s="3" t="n"/>
    </row>
    <row r="35">
      <c r="M35" s="3" t="n"/>
      <c r="Q35" s="3" t="n"/>
    </row>
    <row r="36">
      <c r="M36" s="3" t="n"/>
      <c r="Q36" s="3" t="n"/>
    </row>
    <row r="37">
      <c r="M37" s="3" t="n"/>
      <c r="Q37" s="3" t="n"/>
    </row>
    <row r="38">
      <c r="M38" s="3" t="n"/>
      <c r="Q38" s="3" t="n"/>
    </row>
    <row r="39">
      <c r="M39" s="3" t="n"/>
      <c r="Q39" s="3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21" customWidth="1" min="5" max="5"/>
    <col width="21" customWidth="1" min="6" max="6"/>
    <col width="21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/>
    <row r="2">
      <c r="A2" s="16" t="inlineStr">
        <is>
          <t>Gerencia</t>
        </is>
      </c>
      <c r="B2" s="16" t="inlineStr">
        <is>
          <t>Monto OC</t>
        </is>
      </c>
      <c r="C2" s="16" t="inlineStr">
        <is>
          <t>Cantidad</t>
        </is>
      </c>
      <c r="E2" s="16" t="inlineStr">
        <is>
          <t>Año</t>
        </is>
      </c>
      <c r="F2" s="16" t="inlineStr">
        <is>
          <t>Montos OC</t>
        </is>
      </c>
      <c r="G2" s="16" t="inlineStr">
        <is>
          <t>HH+Utilidad</t>
        </is>
      </c>
      <c r="H2" s="16" t="inlineStr">
        <is>
          <t>Objetivo Mínimo</t>
        </is>
      </c>
      <c r="I2" s="16" t="inlineStr">
        <is>
          <t>Cantidad</t>
        </is>
      </c>
    </row>
    <row r="3">
      <c r="A3" s="17" t="inlineStr">
        <is>
          <t>IND</t>
        </is>
      </c>
      <c r="B3" s="18">
        <f>IND!O3</f>
        <v/>
      </c>
      <c r="C3" s="17">
        <f>IND!P3</f>
        <v/>
      </c>
      <c r="E3" s="17" t="n">
        <v>2012</v>
      </c>
      <c r="F3" s="18" t="n">
        <v>856894.5600000001</v>
      </c>
      <c r="G3" s="18" t="n">
        <v>0</v>
      </c>
      <c r="H3" s="19" t="n"/>
      <c r="I3" s="17" t="n">
        <v>132</v>
      </c>
    </row>
    <row r="4">
      <c r="A4" s="17" t="inlineStr">
        <is>
          <t>MIN</t>
        </is>
      </c>
      <c r="B4" s="18">
        <f>MIN!O3</f>
        <v/>
      </c>
      <c r="C4" s="17">
        <f>MIN!P3</f>
        <v/>
      </c>
      <c r="E4" s="17" t="n">
        <v>2013</v>
      </c>
      <c r="F4" s="18" t="n">
        <v>1173006.51</v>
      </c>
      <c r="G4" s="18" t="n">
        <v>0</v>
      </c>
      <c r="H4" s="19" t="n"/>
      <c r="I4" s="17" t="n">
        <v>172</v>
      </c>
    </row>
    <row r="5">
      <c r="A5" s="17" t="inlineStr">
        <is>
          <t>OIL</t>
        </is>
      </c>
      <c r="B5" s="18">
        <f>OIL!O3</f>
        <v/>
      </c>
      <c r="C5" s="17">
        <f>OIL!P3</f>
        <v/>
      </c>
      <c r="E5" s="17" t="n">
        <v>2014</v>
      </c>
      <c r="F5" s="18" t="n">
        <v>1469563.62</v>
      </c>
      <c r="G5" s="18" t="n">
        <v>766989.8199999999</v>
      </c>
      <c r="H5" s="18" t="n">
        <v>599213.6899999999</v>
      </c>
      <c r="I5" s="17" t="n">
        <v>198</v>
      </c>
    </row>
    <row r="6">
      <c r="A6" s="17" t="inlineStr">
        <is>
          <t>SFY</t>
        </is>
      </c>
      <c r="B6" s="18">
        <f>SFY!O3</f>
        <v/>
      </c>
      <c r="C6" s="17">
        <f>SFY!P3</f>
        <v/>
      </c>
      <c r="E6" s="17" t="n">
        <v>2015</v>
      </c>
      <c r="F6" s="18" t="n">
        <v>1267166.696078888</v>
      </c>
      <c r="G6" s="18" t="n">
        <v>530501.6273807941</v>
      </c>
      <c r="H6" s="18" t="n">
        <v>791852.48</v>
      </c>
      <c r="I6" s="17" t="n">
        <v>231</v>
      </c>
    </row>
    <row r="7">
      <c r="A7" s="20" t="inlineStr">
        <is>
          <t>Total</t>
        </is>
      </c>
      <c r="B7" s="21">
        <f>SUM(B3:B6)</f>
        <v/>
      </c>
      <c r="C7" s="20">
        <f>SUM(C3:C6)</f>
        <v/>
      </c>
      <c r="E7" s="17" t="n">
        <v>2016</v>
      </c>
      <c r="F7" s="18" t="n">
        <v>1080847.054045476</v>
      </c>
      <c r="G7" s="18" t="n">
        <v>507030.8531663141</v>
      </c>
      <c r="H7" s="18" t="n">
        <v>791852.48</v>
      </c>
      <c r="I7" s="17" t="n">
        <v>134</v>
      </c>
    </row>
    <row r="8">
      <c r="E8" s="17" t="n">
        <v>2017</v>
      </c>
      <c r="F8" s="18" t="n">
        <v>1415889.736370502</v>
      </c>
      <c r="G8" s="18" t="n">
        <v>473934.3787961183</v>
      </c>
      <c r="H8" s="18" t="n">
        <v>786394.2</v>
      </c>
      <c r="I8" s="17" t="n">
        <v>158</v>
      </c>
    </row>
    <row r="9">
      <c r="E9" s="17" t="n">
        <v>2018</v>
      </c>
      <c r="F9" s="18" t="n">
        <v>1690561.031002075</v>
      </c>
      <c r="G9" s="18" t="n">
        <v>674026.1135589464</v>
      </c>
      <c r="H9" s="18" t="n">
        <v>1015424.41</v>
      </c>
      <c r="I9" s="17" t="n">
        <v>181</v>
      </c>
    </row>
    <row r="10">
      <c r="E10" s="17" t="n">
        <v>2019</v>
      </c>
      <c r="F10" s="18" t="n">
        <v>2113662.126147534</v>
      </c>
      <c r="G10" s="18" t="n">
        <v>590483.9506978638</v>
      </c>
      <c r="H10" s="18" t="n">
        <v>1016302.22</v>
      </c>
      <c r="I10" s="17" t="n">
        <v>176</v>
      </c>
    </row>
    <row r="11">
      <c r="E11" s="17" t="n">
        <v>2020</v>
      </c>
      <c r="F11" s="18" t="n">
        <v>1428707.628318969</v>
      </c>
      <c r="G11" s="18" t="n">
        <v>712348.3794442476</v>
      </c>
      <c r="H11" s="18" t="n">
        <v>869409.41</v>
      </c>
      <c r="I11" s="17" t="n">
        <v>101</v>
      </c>
    </row>
    <row r="12">
      <c r="E12" s="17" t="n">
        <v>2021</v>
      </c>
      <c r="F12" s="18" t="n">
        <v>1174629.053901313</v>
      </c>
      <c r="G12" s="18" t="n">
        <v>361921.252852613</v>
      </c>
      <c r="H12" s="18" t="n">
        <v>864817.23</v>
      </c>
      <c r="I12" s="17" t="n">
        <v>119</v>
      </c>
    </row>
    <row r="13">
      <c r="E13" s="17" t="n">
        <v>2022</v>
      </c>
      <c r="F13" s="18" t="n">
        <v>1568894.247265148</v>
      </c>
      <c r="G13" s="18" t="n">
        <v>573851.6109611184</v>
      </c>
      <c r="H13" s="18" t="n">
        <v>726996.85</v>
      </c>
      <c r="I13" s="17" t="n">
        <v>93</v>
      </c>
    </row>
    <row r="14">
      <c r="E14" s="17" t="n">
        <v>2023</v>
      </c>
      <c r="F14" s="18" t="n">
        <v>1601964.346871661</v>
      </c>
      <c r="G14" s="18" t="n">
        <v>855738.5866611192</v>
      </c>
      <c r="H14" s="18" t="n">
        <v>872396.23</v>
      </c>
      <c r="I14" s="17" t="n">
        <v>98</v>
      </c>
    </row>
    <row r="15">
      <c r="E15" s="17" t="n">
        <v>2024</v>
      </c>
      <c r="F15" s="18" t="n">
        <v>1502315.012059501</v>
      </c>
      <c r="G15" s="18" t="n">
        <v>827619.7865925868</v>
      </c>
      <c r="H15" s="18" t="n">
        <v>1046875.48</v>
      </c>
      <c r="I15" s="17" t="n">
        <v>110</v>
      </c>
    </row>
    <row r="16">
      <c r="E16" s="17" t="n">
        <v>2025</v>
      </c>
      <c r="F16" s="18" t="n">
        <v>1580195.603623653</v>
      </c>
      <c r="G16" s="18" t="n">
        <v>734535.7450207542</v>
      </c>
      <c r="H16" s="18" t="n">
        <v>1046875.48</v>
      </c>
      <c r="I16" s="17" t="n">
        <v>87</v>
      </c>
    </row>
    <row r="17">
      <c r="E17" s="20" t="n">
        <v>2026</v>
      </c>
      <c r="F17" s="21">
        <f>B7</f>
        <v/>
      </c>
      <c r="G17" s="21">
        <f>Objetivos!D7</f>
        <v/>
      </c>
      <c r="H17" s="21">
        <f>Objetivos!C7</f>
        <v/>
      </c>
      <c r="I17" s="20">
        <f>C7</f>
        <v/>
      </c>
    </row>
    <row r="18"/>
    <row r="19"/>
    <row r="20">
      <c r="A20" s="22" t="inlineStr">
        <is>
          <t>INDUSTRIA</t>
        </is>
      </c>
    </row>
    <row r="21">
      <c r="A21" s="16" t="inlineStr">
        <is>
          <t>Año</t>
        </is>
      </c>
      <c r="B21" s="16" t="inlineStr">
        <is>
          <t>ENE</t>
        </is>
      </c>
      <c r="C21" s="16" t="inlineStr">
        <is>
          <t>FEB</t>
        </is>
      </c>
      <c r="D21" s="16" t="inlineStr">
        <is>
          <t>MAR</t>
        </is>
      </c>
      <c r="E21" s="16" t="inlineStr">
        <is>
          <t>ABR</t>
        </is>
      </c>
      <c r="F21" s="16" t="inlineStr">
        <is>
          <t>MAY</t>
        </is>
      </c>
      <c r="G21" s="16" t="inlineStr">
        <is>
          <t>JUN</t>
        </is>
      </c>
      <c r="H21" s="16" t="inlineStr">
        <is>
          <t>JUL</t>
        </is>
      </c>
      <c r="I21" s="16" t="inlineStr">
        <is>
          <t>AGO</t>
        </is>
      </c>
      <c r="J21" s="16" t="inlineStr">
        <is>
          <t>SEP</t>
        </is>
      </c>
      <c r="K21" s="16" t="inlineStr">
        <is>
          <t>OCT</t>
        </is>
      </c>
      <c r="L21" s="16" t="inlineStr">
        <is>
          <t>NOV</t>
        </is>
      </c>
      <c r="M21" s="16" t="inlineStr">
        <is>
          <t>DIC</t>
        </is>
      </c>
      <c r="N21" s="16" t="inlineStr">
        <is>
          <t>Total</t>
        </is>
      </c>
    </row>
    <row r="22">
      <c r="A22" s="17" t="n">
        <v>2011</v>
      </c>
      <c r="B22" s="18" t="n">
        <v>0</v>
      </c>
      <c r="C22" s="18" t="n">
        <v>0</v>
      </c>
      <c r="D22" s="18" t="n">
        <v>8081.84</v>
      </c>
      <c r="E22" s="18" t="n">
        <v>1225.454545454545</v>
      </c>
      <c r="F22" s="18" t="n">
        <v>0</v>
      </c>
      <c r="G22" s="18" t="n">
        <v>1996</v>
      </c>
      <c r="H22" s="18" t="n">
        <v>840.55</v>
      </c>
      <c r="I22" s="18" t="n">
        <v>34797.82</v>
      </c>
      <c r="J22" s="18" t="n">
        <v>0</v>
      </c>
      <c r="K22" s="18" t="n">
        <v>111991.51</v>
      </c>
      <c r="L22" s="18" t="n">
        <v>6400</v>
      </c>
      <c r="M22" s="18" t="n">
        <v>9116.67</v>
      </c>
      <c r="N22" s="18">
        <f>SUM(B22:M22)</f>
        <v/>
      </c>
    </row>
    <row r="23">
      <c r="A23" s="17" t="n">
        <v>2012</v>
      </c>
      <c r="B23" s="18" t="n">
        <v>288.75</v>
      </c>
      <c r="C23" s="18" t="n">
        <v>16966.01</v>
      </c>
      <c r="D23" s="18" t="n">
        <v>11996.84</v>
      </c>
      <c r="E23" s="18" t="n">
        <v>10473.8</v>
      </c>
      <c r="F23" s="18" t="n">
        <v>23696.62</v>
      </c>
      <c r="G23" s="18" t="n">
        <v>17358.2</v>
      </c>
      <c r="H23" s="18" t="n">
        <v>11531.73</v>
      </c>
      <c r="I23" s="18" t="n">
        <v>11142.81</v>
      </c>
      <c r="J23" s="18" t="n">
        <v>3372.72</v>
      </c>
      <c r="K23" s="18" t="n">
        <v>370.5</v>
      </c>
      <c r="L23" s="18" t="n">
        <v>38269.66</v>
      </c>
      <c r="M23" s="18" t="n">
        <v>20800.84</v>
      </c>
      <c r="N23" s="18">
        <f>SUM(B23:M23)</f>
        <v/>
      </c>
    </row>
    <row r="24">
      <c r="A24" s="17" t="n">
        <v>2013</v>
      </c>
      <c r="B24" s="18" t="n">
        <v>14551.34</v>
      </c>
      <c r="C24" s="18" t="n">
        <v>19427.05</v>
      </c>
      <c r="D24" s="18" t="n">
        <v>2262</v>
      </c>
      <c r="E24" s="18" t="n">
        <v>39092.38</v>
      </c>
      <c r="F24" s="18" t="n">
        <v>31540.28</v>
      </c>
      <c r="G24" s="18" t="n">
        <v>19834.15</v>
      </c>
      <c r="H24" s="18" t="n">
        <v>3903.08</v>
      </c>
      <c r="I24" s="18" t="n">
        <v>49596.05</v>
      </c>
      <c r="J24" s="18" t="n">
        <v>11850.33</v>
      </c>
      <c r="K24" s="18" t="n">
        <v>28657.57</v>
      </c>
      <c r="L24" s="18" t="n">
        <v>34503.31</v>
      </c>
      <c r="M24" s="18" t="n">
        <v>0</v>
      </c>
      <c r="N24" s="18">
        <f>SUM(B24:M24)</f>
        <v/>
      </c>
    </row>
    <row r="25">
      <c r="A25" s="17" t="n">
        <v>2014</v>
      </c>
      <c r="B25" s="18" t="n">
        <v>35533.57</v>
      </c>
      <c r="C25" s="18" t="n">
        <v>3500</v>
      </c>
      <c r="D25" s="18" t="n">
        <v>13796</v>
      </c>
      <c r="E25" s="18" t="n">
        <v>6360</v>
      </c>
      <c r="F25" s="18" t="n">
        <v>34670</v>
      </c>
      <c r="G25" s="18" t="n">
        <v>20700</v>
      </c>
      <c r="H25" s="18" t="n">
        <v>27649.9</v>
      </c>
      <c r="I25" s="18" t="n">
        <v>12924.2</v>
      </c>
      <c r="J25" s="18" t="n">
        <v>71445.25999999999</v>
      </c>
      <c r="K25" s="18" t="n">
        <v>125296.03</v>
      </c>
      <c r="L25" s="18" t="n">
        <v>19935.01</v>
      </c>
      <c r="M25" s="18" t="n">
        <v>19950</v>
      </c>
      <c r="N25" s="18">
        <f>SUM(B25:M25)</f>
        <v/>
      </c>
    </row>
    <row r="26">
      <c r="A26" s="17" t="n">
        <v>2015</v>
      </c>
      <c r="B26" s="18" t="n">
        <v>0</v>
      </c>
      <c r="C26" s="18" t="n">
        <v>0</v>
      </c>
      <c r="D26" s="18" t="n">
        <v>48338.97</v>
      </c>
      <c r="E26" s="18" t="n">
        <v>1619.9</v>
      </c>
      <c r="F26" s="18" t="n">
        <v>400</v>
      </c>
      <c r="G26" s="18" t="n">
        <v>54648.3</v>
      </c>
      <c r="H26" s="18" t="n">
        <v>11186.8</v>
      </c>
      <c r="I26" s="18" t="n">
        <v>32656.2</v>
      </c>
      <c r="J26" s="18" t="n">
        <v>40006.21</v>
      </c>
      <c r="K26" s="18" t="n">
        <v>7070.13</v>
      </c>
      <c r="L26" s="18" t="n">
        <v>12900</v>
      </c>
      <c r="M26" s="18" t="n">
        <v>59189</v>
      </c>
      <c r="N26" s="18">
        <f>SUM(B26:M26)</f>
        <v/>
      </c>
    </row>
    <row r="27">
      <c r="A27" s="17" t="n">
        <v>2016</v>
      </c>
      <c r="B27" s="18" t="n">
        <v>64626.94</v>
      </c>
      <c r="C27" s="18" t="n">
        <v>91133.37</v>
      </c>
      <c r="D27" s="18" t="n">
        <v>28155.6</v>
      </c>
      <c r="E27" s="18" t="n">
        <v>1222.5</v>
      </c>
      <c r="F27" s="18" t="n">
        <v>600</v>
      </c>
      <c r="G27" s="18" t="n">
        <v>3688.4</v>
      </c>
      <c r="H27" s="18" t="n">
        <v>25934.95</v>
      </c>
      <c r="I27" s="18" t="n">
        <v>15845.01</v>
      </c>
      <c r="J27" s="18" t="n">
        <v>4185.51</v>
      </c>
      <c r="K27" s="18" t="n">
        <v>12128.1</v>
      </c>
      <c r="L27" s="18" t="n">
        <v>3807.88</v>
      </c>
      <c r="M27" s="18" t="n">
        <v>4900</v>
      </c>
      <c r="N27" s="18">
        <f>SUM(B27:M27)</f>
        <v/>
      </c>
    </row>
    <row r="28">
      <c r="A28" s="17" t="n">
        <v>2017</v>
      </c>
      <c r="B28" s="18" t="n">
        <v>19607.87</v>
      </c>
      <c r="C28" s="18" t="n">
        <v>133750.17</v>
      </c>
      <c r="D28" s="18" t="n">
        <v>23056.54</v>
      </c>
      <c r="E28" s="18" t="n">
        <v>1982</v>
      </c>
      <c r="F28" s="18" t="n">
        <v>41474</v>
      </c>
      <c r="G28" s="18" t="n">
        <v>5405.5</v>
      </c>
      <c r="H28" s="18" t="n">
        <v>144797.51</v>
      </c>
      <c r="I28" s="18" t="n">
        <v>147549.01</v>
      </c>
      <c r="J28" s="18" t="n">
        <v>8547.440000000001</v>
      </c>
      <c r="K28" s="18" t="n">
        <v>2414.93</v>
      </c>
      <c r="L28" s="18" t="n">
        <v>65256.13</v>
      </c>
      <c r="M28" s="18" t="n">
        <v>49307.3</v>
      </c>
      <c r="N28" s="18">
        <f>SUM(B28:M28)</f>
        <v/>
      </c>
    </row>
    <row r="29">
      <c r="A29" s="17" t="n">
        <v>2018</v>
      </c>
      <c r="B29" s="18" t="n">
        <v>47082.85</v>
      </c>
      <c r="C29" s="18" t="n">
        <v>26269.61</v>
      </c>
      <c r="D29" s="18" t="n">
        <v>65385.66</v>
      </c>
      <c r="E29" s="18" t="n">
        <v>22090.56</v>
      </c>
      <c r="F29" s="18" t="n">
        <v>142594.25</v>
      </c>
      <c r="G29" s="18" t="n">
        <v>4320</v>
      </c>
      <c r="H29" s="18" t="n">
        <v>2814.7</v>
      </c>
      <c r="I29" s="18" t="n">
        <v>17059.71</v>
      </c>
      <c r="J29" s="18" t="n">
        <v>18378</v>
      </c>
      <c r="K29" s="18" t="n">
        <v>10400</v>
      </c>
      <c r="L29" s="18" t="n">
        <v>88735.86</v>
      </c>
      <c r="M29" s="18" t="n">
        <v>6045.56</v>
      </c>
      <c r="N29" s="18">
        <f>SUM(B29:M29)</f>
        <v/>
      </c>
    </row>
    <row r="30">
      <c r="A30" s="17" t="n">
        <v>2019</v>
      </c>
      <c r="B30" s="18" t="n">
        <v>11400.28</v>
      </c>
      <c r="C30" s="18" t="n">
        <v>9990</v>
      </c>
      <c r="D30" s="18" t="n">
        <v>0</v>
      </c>
      <c r="E30" s="18" t="n">
        <v>2682.46</v>
      </c>
      <c r="F30" s="18" t="n">
        <v>95953.7</v>
      </c>
      <c r="G30" s="18" t="n">
        <v>22179.66</v>
      </c>
      <c r="H30" s="18" t="n">
        <v>0</v>
      </c>
      <c r="I30" s="18" t="n">
        <v>9915.6</v>
      </c>
      <c r="J30" s="18" t="n">
        <v>800</v>
      </c>
      <c r="K30" s="18" t="n">
        <v>850</v>
      </c>
      <c r="L30" s="18" t="n">
        <v>11258.1</v>
      </c>
      <c r="M30" s="18" t="n">
        <v>0</v>
      </c>
      <c r="N30" s="18">
        <f>SUM(B30:M30)</f>
        <v/>
      </c>
    </row>
    <row r="31">
      <c r="A31" s="17" t="n">
        <v>2020</v>
      </c>
      <c r="B31" s="18" t="n">
        <v>11188.55</v>
      </c>
      <c r="C31" s="18" t="n">
        <v>33333.2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16924.46</v>
      </c>
      <c r="I31" s="18" t="n">
        <v>110</v>
      </c>
      <c r="J31" s="18" t="n">
        <v>1354.46</v>
      </c>
      <c r="K31" s="18" t="n">
        <v>1452.34</v>
      </c>
      <c r="L31" s="18" t="n">
        <v>3544.38</v>
      </c>
      <c r="M31" s="18" t="n">
        <v>7272</v>
      </c>
      <c r="N31" s="18">
        <f>SUM(B31:M31)</f>
        <v/>
      </c>
    </row>
    <row r="32">
      <c r="A32" s="17" t="n">
        <v>2021</v>
      </c>
      <c r="B32" s="18" t="n">
        <v>8601.17</v>
      </c>
      <c r="C32" s="18" t="n">
        <v>0</v>
      </c>
      <c r="D32" s="18" t="n">
        <v>1104.57</v>
      </c>
      <c r="E32" s="18" t="n">
        <v>4337.71</v>
      </c>
      <c r="F32" s="18" t="n">
        <v>0</v>
      </c>
      <c r="G32" s="18" t="n">
        <v>0</v>
      </c>
      <c r="H32" s="18" t="n">
        <v>155</v>
      </c>
      <c r="I32" s="18" t="n">
        <v>202961.72</v>
      </c>
      <c r="J32" s="18" t="n">
        <v>127.78</v>
      </c>
      <c r="K32" s="18" t="n">
        <v>7402.35</v>
      </c>
      <c r="L32" s="18" t="n">
        <v>2438</v>
      </c>
      <c r="M32" s="18" t="n">
        <v>1206</v>
      </c>
      <c r="N32" s="18">
        <f>SUM(B32:M32)</f>
        <v/>
      </c>
    </row>
    <row r="33">
      <c r="A33" s="17" t="n">
        <v>2022</v>
      </c>
      <c r="B33" s="18" t="n">
        <v>0</v>
      </c>
      <c r="C33" s="18" t="n">
        <v>1801.85</v>
      </c>
      <c r="D33" s="18" t="n">
        <v>6522.74</v>
      </c>
      <c r="E33" s="18" t="n">
        <v>11039.54</v>
      </c>
      <c r="F33" s="18" t="n">
        <v>471.6</v>
      </c>
      <c r="G33" s="18" t="n">
        <v>14709</v>
      </c>
      <c r="H33" s="18" t="n">
        <v>0</v>
      </c>
      <c r="I33" s="18" t="n">
        <v>9710</v>
      </c>
      <c r="J33" s="18" t="n">
        <v>100</v>
      </c>
      <c r="K33" s="18" t="n">
        <v>17001.24</v>
      </c>
      <c r="L33" s="18" t="n">
        <v>1130</v>
      </c>
      <c r="M33" s="18" t="n">
        <v>0</v>
      </c>
      <c r="N33" s="18">
        <f>SUM(B33:M33)</f>
        <v/>
      </c>
    </row>
    <row r="34">
      <c r="A34" s="17" t="n">
        <v>2023</v>
      </c>
      <c r="B34" s="18" t="n">
        <v>0</v>
      </c>
      <c r="C34" s="18" t="n">
        <v>61177.52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4038.44</v>
      </c>
      <c r="J34" s="18" t="n">
        <v>0</v>
      </c>
      <c r="K34" s="18" t="n">
        <v>12265</v>
      </c>
      <c r="L34" s="18" t="n">
        <v>6952.98</v>
      </c>
      <c r="M34" s="18" t="n">
        <v>1276.4</v>
      </c>
      <c r="N34" s="18">
        <f>SUM(B34:M34)</f>
        <v/>
      </c>
    </row>
    <row r="35">
      <c r="A35" s="17" t="n">
        <v>2024</v>
      </c>
      <c r="B35" s="18" t="n">
        <v>4488.68</v>
      </c>
      <c r="C35" s="18" t="n">
        <v>71868.06</v>
      </c>
      <c r="D35" s="18" t="n">
        <v>18225.89</v>
      </c>
      <c r="E35" s="18" t="n">
        <v>15772.49</v>
      </c>
      <c r="F35" s="18" t="n">
        <v>2420</v>
      </c>
      <c r="G35" s="18" t="n">
        <v>9325</v>
      </c>
      <c r="H35" s="18" t="n">
        <v>80</v>
      </c>
      <c r="I35" s="18" t="n">
        <v>0</v>
      </c>
      <c r="J35" s="18" t="n">
        <v>7716.63</v>
      </c>
      <c r="K35" s="18" t="n">
        <v>62061.34</v>
      </c>
      <c r="L35" s="18" t="n">
        <v>27973.71</v>
      </c>
      <c r="M35" s="18" t="n">
        <v>50418.03</v>
      </c>
      <c r="N35" s="18">
        <f>SUM(B35:M35)</f>
        <v/>
      </c>
    </row>
    <row r="36">
      <c r="A36" s="17" t="n">
        <v>2025</v>
      </c>
      <c r="B36" s="18" t="n">
        <v>4932</v>
      </c>
      <c r="C36" s="18" t="n">
        <v>16355</v>
      </c>
      <c r="D36" s="18" t="n">
        <v>21167.93</v>
      </c>
      <c r="E36" s="18" t="n">
        <v>2998.9</v>
      </c>
      <c r="F36" s="18" t="n">
        <v>3408</v>
      </c>
      <c r="G36" s="18" t="n">
        <v>12106.81</v>
      </c>
      <c r="H36" s="18" t="n">
        <v>3745</v>
      </c>
      <c r="I36" s="18" t="n">
        <v>10726.67</v>
      </c>
      <c r="J36" s="18" t="n">
        <v>13640.04</v>
      </c>
      <c r="K36" s="18" t="n">
        <v>9276.190000000001</v>
      </c>
      <c r="L36" s="18" t="n">
        <v>4000.64</v>
      </c>
      <c r="M36" s="18" t="n">
        <v>22158.71</v>
      </c>
      <c r="N36" s="18">
        <f>SUM(B36:M36)</f>
        <v/>
      </c>
    </row>
    <row r="37">
      <c r="A37" s="20" t="n">
        <v>2026</v>
      </c>
      <c r="B37" s="21" t="n">
        <v>2563.14</v>
      </c>
      <c r="C37" s="21" t="n">
        <v>23056.05</v>
      </c>
      <c r="D37" s="21" t="n">
        <v>2180</v>
      </c>
      <c r="E37" s="21" t="n">
        <v>10000</v>
      </c>
      <c r="F37" s="21" t="n">
        <v>0</v>
      </c>
      <c r="G37" s="21" t="n">
        <v>880</v>
      </c>
      <c r="H37" s="21" t="n">
        <v>16251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3300</v>
      </c>
      <c r="N37" s="21">
        <f>SUM(B37:M37)</f>
        <v/>
      </c>
    </row>
    <row r="38"/>
    <row r="39"/>
    <row r="40">
      <c r="A40" s="22" t="inlineStr">
        <is>
          <t>MINERIA</t>
        </is>
      </c>
    </row>
    <row r="41">
      <c r="A41" s="16" t="inlineStr">
        <is>
          <t>Año</t>
        </is>
      </c>
      <c r="B41" s="16" t="inlineStr">
        <is>
          <t>ENE</t>
        </is>
      </c>
      <c r="C41" s="16" t="inlineStr">
        <is>
          <t>FEB</t>
        </is>
      </c>
      <c r="D41" s="16" t="inlineStr">
        <is>
          <t>MAR</t>
        </is>
      </c>
      <c r="E41" s="16" t="inlineStr">
        <is>
          <t>ABR</t>
        </is>
      </c>
      <c r="F41" s="16" t="inlineStr">
        <is>
          <t>MAY</t>
        </is>
      </c>
      <c r="G41" s="16" t="inlineStr">
        <is>
          <t>JUN</t>
        </is>
      </c>
      <c r="H41" s="16" t="inlineStr">
        <is>
          <t>JUL</t>
        </is>
      </c>
      <c r="I41" s="16" t="inlineStr">
        <is>
          <t>AGO</t>
        </is>
      </c>
      <c r="J41" s="16" t="inlineStr">
        <is>
          <t>SEP</t>
        </is>
      </c>
      <c r="K41" s="16" t="inlineStr">
        <is>
          <t>OCT</t>
        </is>
      </c>
      <c r="L41" s="16" t="inlineStr">
        <is>
          <t>NOV</t>
        </is>
      </c>
      <c r="M41" s="16" t="inlineStr">
        <is>
          <t>DIC</t>
        </is>
      </c>
      <c r="N41" s="16" t="inlineStr">
        <is>
          <t>Total</t>
        </is>
      </c>
    </row>
    <row r="42">
      <c r="A42" s="17" t="n">
        <v>2011</v>
      </c>
      <c r="B42" s="18" t="n">
        <v>0</v>
      </c>
      <c r="C42" s="18" t="n">
        <v>0</v>
      </c>
      <c r="D42" s="18" t="n">
        <v>143668.9</v>
      </c>
      <c r="E42" s="18" t="n">
        <v>46280.65</v>
      </c>
      <c r="F42" s="18" t="n">
        <v>11504.24</v>
      </c>
      <c r="G42" s="18" t="n">
        <v>93709.46000000001</v>
      </c>
      <c r="H42" s="18" t="n">
        <v>0</v>
      </c>
      <c r="I42" s="18" t="n">
        <v>41411.92</v>
      </c>
      <c r="J42" s="18" t="n">
        <v>22074.98</v>
      </c>
      <c r="K42" s="18" t="n">
        <v>51330.95</v>
      </c>
      <c r="L42" s="18" t="n">
        <v>10405</v>
      </c>
      <c r="M42" s="18" t="n">
        <v>78179.60000000001</v>
      </c>
      <c r="N42" s="18">
        <f>SUM(B42:M42)</f>
        <v/>
      </c>
    </row>
    <row r="43">
      <c r="A43" s="17" t="n">
        <v>2012</v>
      </c>
      <c r="B43" s="18" t="n">
        <v>6016.7</v>
      </c>
      <c r="C43" s="18" t="n">
        <v>0</v>
      </c>
      <c r="D43" s="18" t="n">
        <v>272173.48</v>
      </c>
      <c r="E43" s="18" t="n">
        <v>9853.120000000001</v>
      </c>
      <c r="F43" s="18" t="n">
        <v>13313.7</v>
      </c>
      <c r="G43" s="18" t="n">
        <v>8315.85</v>
      </c>
      <c r="H43" s="18" t="n">
        <v>9464.65</v>
      </c>
      <c r="I43" s="18" t="n">
        <v>2110.4</v>
      </c>
      <c r="J43" s="18" t="n">
        <v>2368</v>
      </c>
      <c r="K43" s="18" t="n">
        <v>0</v>
      </c>
      <c r="L43" s="18" t="n">
        <v>9172.15</v>
      </c>
      <c r="M43" s="18" t="n">
        <v>12995.65</v>
      </c>
      <c r="N43" s="18">
        <f>SUM(B43:M43)</f>
        <v/>
      </c>
    </row>
    <row r="44">
      <c r="A44" s="17" t="n">
        <v>2013</v>
      </c>
      <c r="B44" s="18" t="n">
        <v>9000</v>
      </c>
      <c r="C44" s="18" t="n">
        <v>6885</v>
      </c>
      <c r="D44" s="18" t="n">
        <v>222917.66</v>
      </c>
      <c r="E44" s="18" t="n">
        <v>59817.55</v>
      </c>
      <c r="F44" s="18" t="n">
        <v>394.4</v>
      </c>
      <c r="G44" s="18" t="n">
        <v>24251.24</v>
      </c>
      <c r="H44" s="18" t="n">
        <v>3454.21</v>
      </c>
      <c r="I44" s="18" t="n">
        <v>39736.85</v>
      </c>
      <c r="J44" s="18" t="n">
        <v>245081.41</v>
      </c>
      <c r="K44" s="18" t="n">
        <v>6332.89</v>
      </c>
      <c r="L44" s="18" t="n">
        <v>15281.25</v>
      </c>
      <c r="M44" s="18" t="n">
        <v>19860</v>
      </c>
      <c r="N44" s="18">
        <f>SUM(B44:M44)</f>
        <v/>
      </c>
    </row>
    <row r="45">
      <c r="A45" s="17" t="n">
        <v>2014</v>
      </c>
      <c r="B45" s="18" t="n">
        <v>38211.7</v>
      </c>
      <c r="C45" s="18" t="n">
        <v>9714.389999999999</v>
      </c>
      <c r="D45" s="18" t="n">
        <v>74793.07000000001</v>
      </c>
      <c r="E45" s="18" t="n">
        <v>270158.08</v>
      </c>
      <c r="F45" s="18" t="n">
        <v>92782.46000000001</v>
      </c>
      <c r="G45" s="18" t="n">
        <v>9014.08</v>
      </c>
      <c r="H45" s="18" t="n">
        <v>26650.57</v>
      </c>
      <c r="I45" s="18" t="n">
        <v>12078.26</v>
      </c>
      <c r="J45" s="18" t="n">
        <v>123460.35</v>
      </c>
      <c r="K45" s="18" t="n">
        <v>138294.33</v>
      </c>
      <c r="L45" s="18" t="n">
        <v>24996.16</v>
      </c>
      <c r="M45" s="18" t="n">
        <v>24381.47</v>
      </c>
      <c r="N45" s="18">
        <f>SUM(B45:M45)</f>
        <v/>
      </c>
    </row>
    <row r="46">
      <c r="A46" s="17" t="n">
        <v>2015</v>
      </c>
      <c r="B46" s="18" t="n">
        <v>430.2</v>
      </c>
      <c r="C46" s="18" t="n">
        <v>13222.02</v>
      </c>
      <c r="D46" s="18" t="n">
        <v>118619.54</v>
      </c>
      <c r="E46" s="18" t="n">
        <v>53498.21</v>
      </c>
      <c r="F46" s="18" t="n">
        <v>251484.85</v>
      </c>
      <c r="G46" s="18" t="n">
        <v>108690.8</v>
      </c>
      <c r="H46" s="18" t="n">
        <v>82851.87</v>
      </c>
      <c r="I46" s="18" t="n">
        <v>221857.22</v>
      </c>
      <c r="J46" s="18" t="n">
        <v>13438.53</v>
      </c>
      <c r="K46" s="18" t="n">
        <v>165667.24</v>
      </c>
      <c r="L46" s="18" t="n">
        <v>58231.71</v>
      </c>
      <c r="M46" s="18" t="n">
        <v>7455.68</v>
      </c>
      <c r="N46" s="18">
        <f>SUM(B46:M46)</f>
        <v/>
      </c>
    </row>
    <row r="47">
      <c r="A47" s="17" t="n">
        <v>2016</v>
      </c>
      <c r="B47" s="18" t="n">
        <v>72022.03999999999</v>
      </c>
      <c r="C47" s="18" t="n">
        <v>1333.87</v>
      </c>
      <c r="D47" s="18" t="n">
        <v>173190.1</v>
      </c>
      <c r="E47" s="18" t="n">
        <v>0</v>
      </c>
      <c r="F47" s="18" t="n">
        <v>5926.71</v>
      </c>
      <c r="G47" s="18" t="n">
        <v>0</v>
      </c>
      <c r="H47" s="18" t="n">
        <v>34536.83</v>
      </c>
      <c r="I47" s="18" t="n">
        <v>129249.84</v>
      </c>
      <c r="J47" s="18" t="n">
        <v>230.94</v>
      </c>
      <c r="K47" s="18" t="n">
        <v>146213.87</v>
      </c>
      <c r="L47" s="18" t="n">
        <v>71232.60000000001</v>
      </c>
      <c r="M47" s="18" t="n">
        <v>20314.5</v>
      </c>
      <c r="N47" s="18">
        <f>SUM(B47:M47)</f>
        <v/>
      </c>
    </row>
    <row r="48">
      <c r="A48" s="17" t="n">
        <v>2017</v>
      </c>
      <c r="B48" s="18" t="n">
        <v>230561.94</v>
      </c>
      <c r="C48" s="18" t="n">
        <v>4217.06</v>
      </c>
      <c r="D48" s="18" t="n">
        <v>24524.97</v>
      </c>
      <c r="E48" s="18" t="n">
        <v>31573.59</v>
      </c>
      <c r="F48" s="18" t="n">
        <v>63558.07</v>
      </c>
      <c r="G48" s="18" t="n">
        <v>14802.02</v>
      </c>
      <c r="H48" s="18" t="n">
        <v>67282.87</v>
      </c>
      <c r="I48" s="18" t="n">
        <v>64937.37</v>
      </c>
      <c r="J48" s="18" t="n">
        <v>17097.45</v>
      </c>
      <c r="K48" s="18" t="n">
        <v>41572.12</v>
      </c>
      <c r="L48" s="18" t="n">
        <v>129161.75</v>
      </c>
      <c r="M48" s="18" t="n">
        <v>111130.58</v>
      </c>
      <c r="N48" s="18">
        <f>SUM(B48:M48)</f>
        <v/>
      </c>
    </row>
    <row r="49">
      <c r="A49" s="17" t="n">
        <v>2018</v>
      </c>
      <c r="B49" s="18" t="n">
        <v>28222.77</v>
      </c>
      <c r="C49" s="18" t="n">
        <v>68462.57000000001</v>
      </c>
      <c r="D49" s="18" t="n">
        <v>55921.68</v>
      </c>
      <c r="E49" s="18" t="n">
        <v>125454.25</v>
      </c>
      <c r="F49" s="18" t="n">
        <v>86062.92999999999</v>
      </c>
      <c r="G49" s="18" t="n">
        <v>81885.78999999999</v>
      </c>
      <c r="H49" s="18" t="n">
        <v>290620.09</v>
      </c>
      <c r="I49" s="18" t="n">
        <v>139982.07</v>
      </c>
      <c r="J49" s="18" t="n">
        <v>126649.9</v>
      </c>
      <c r="K49" s="18" t="n">
        <v>59949.58</v>
      </c>
      <c r="L49" s="18" t="n">
        <v>24445.19</v>
      </c>
      <c r="M49" s="18" t="n">
        <v>17655.43</v>
      </c>
      <c r="N49" s="18">
        <f>SUM(B49:M49)</f>
        <v/>
      </c>
    </row>
    <row r="50">
      <c r="A50" s="17" t="n">
        <v>2019</v>
      </c>
      <c r="B50" s="18" t="n">
        <v>28830.67</v>
      </c>
      <c r="C50" s="18" t="n">
        <v>31165.4</v>
      </c>
      <c r="D50" s="18" t="n">
        <v>43051.52</v>
      </c>
      <c r="E50" s="18" t="n">
        <v>10640.52</v>
      </c>
      <c r="F50" s="18" t="n">
        <v>72350.55</v>
      </c>
      <c r="G50" s="18" t="n">
        <v>58946.99</v>
      </c>
      <c r="H50" s="18" t="n">
        <v>95984.19</v>
      </c>
      <c r="I50" s="18" t="n">
        <v>60261.61</v>
      </c>
      <c r="J50" s="18" t="n">
        <v>432907.71</v>
      </c>
      <c r="K50" s="18" t="n">
        <v>46018.01</v>
      </c>
      <c r="L50" s="18" t="n">
        <v>131238.43</v>
      </c>
      <c r="M50" s="18" t="n">
        <v>5262.43</v>
      </c>
      <c r="N50" s="18">
        <f>SUM(B50:M50)</f>
        <v/>
      </c>
    </row>
    <row r="51">
      <c r="A51" s="17" t="n">
        <v>2020</v>
      </c>
      <c r="B51" s="18" t="n">
        <v>439460.93</v>
      </c>
      <c r="C51" s="18" t="n">
        <v>57261.04</v>
      </c>
      <c r="D51" s="18" t="n">
        <v>7545.35</v>
      </c>
      <c r="E51" s="18" t="n">
        <v>112345.66</v>
      </c>
      <c r="F51" s="18" t="n">
        <v>37383.5</v>
      </c>
      <c r="G51" s="18" t="n">
        <v>19084.36</v>
      </c>
      <c r="H51" s="18" t="n">
        <v>22998.97</v>
      </c>
      <c r="I51" s="18" t="n">
        <v>122.72</v>
      </c>
      <c r="J51" s="18" t="n">
        <v>733.5</v>
      </c>
      <c r="K51" s="18" t="n">
        <v>9508.700000000001</v>
      </c>
      <c r="L51" s="18" t="n">
        <v>188367.77</v>
      </c>
      <c r="M51" s="18" t="n">
        <v>70557.16</v>
      </c>
      <c r="N51" s="18">
        <f>SUM(B51:M51)</f>
        <v/>
      </c>
    </row>
    <row r="52">
      <c r="A52" s="17" t="n">
        <v>2021</v>
      </c>
      <c r="B52" s="18" t="n">
        <v>33426.4</v>
      </c>
      <c r="C52" s="18" t="n">
        <v>126852.66</v>
      </c>
      <c r="D52" s="18" t="n">
        <v>119359.45</v>
      </c>
      <c r="E52" s="18" t="n">
        <v>28573.05</v>
      </c>
      <c r="F52" s="18" t="n">
        <v>41221.29</v>
      </c>
      <c r="G52" s="18" t="n">
        <v>55937.77</v>
      </c>
      <c r="H52" s="18" t="n">
        <v>12681.07</v>
      </c>
      <c r="I52" s="18" t="n">
        <v>85620.99000000001</v>
      </c>
      <c r="J52" s="18" t="n">
        <v>157701.64</v>
      </c>
      <c r="K52" s="18" t="n">
        <v>37500.79</v>
      </c>
      <c r="L52" s="18" t="n">
        <v>46712.11</v>
      </c>
      <c r="M52" s="18" t="n">
        <v>101235.12</v>
      </c>
      <c r="N52" s="18">
        <f>SUM(B52:M52)</f>
        <v/>
      </c>
    </row>
    <row r="53">
      <c r="A53" s="17" t="n">
        <v>2022</v>
      </c>
      <c r="B53" s="18" t="n">
        <v>5637.6</v>
      </c>
      <c r="C53" s="18" t="n">
        <v>300035.43</v>
      </c>
      <c r="D53" s="18" t="n">
        <v>692168.37</v>
      </c>
      <c r="E53" s="18" t="n">
        <v>26663.31</v>
      </c>
      <c r="F53" s="18" t="n">
        <v>90523.25999999999</v>
      </c>
      <c r="G53" s="18" t="n">
        <v>68740.8</v>
      </c>
      <c r="H53" s="18" t="n">
        <v>85904.05</v>
      </c>
      <c r="I53" s="18" t="n">
        <v>52986.28</v>
      </c>
      <c r="J53" s="18" t="n">
        <v>31612.14</v>
      </c>
      <c r="K53" s="18" t="n">
        <v>0</v>
      </c>
      <c r="L53" s="18" t="n">
        <v>29513.55</v>
      </c>
      <c r="M53" s="18" t="n">
        <v>2023.44</v>
      </c>
      <c r="N53" s="18">
        <f>SUM(B53:M53)</f>
        <v/>
      </c>
    </row>
    <row r="54">
      <c r="A54" s="17" t="n">
        <v>2023</v>
      </c>
      <c r="B54" s="18" t="n">
        <v>42009.17</v>
      </c>
      <c r="C54" s="18" t="n">
        <v>73170.27</v>
      </c>
      <c r="D54" s="18" t="n">
        <v>94.5</v>
      </c>
      <c r="E54" s="18" t="n">
        <v>38501</v>
      </c>
      <c r="F54" s="18" t="n">
        <v>19593</v>
      </c>
      <c r="G54" s="18" t="n">
        <v>77890.02</v>
      </c>
      <c r="H54" s="18" t="n">
        <v>90322.95</v>
      </c>
      <c r="I54" s="18" t="n">
        <v>30854.25</v>
      </c>
      <c r="J54" s="18" t="n">
        <v>94174.59</v>
      </c>
      <c r="K54" s="18" t="n">
        <v>79362.92999999999</v>
      </c>
      <c r="L54" s="18" t="n">
        <v>278050.35</v>
      </c>
      <c r="M54" s="18" t="n">
        <v>511165.57</v>
      </c>
      <c r="N54" s="18">
        <f>SUM(B54:M54)</f>
        <v/>
      </c>
    </row>
    <row r="55">
      <c r="A55" s="17" t="n">
        <v>2024</v>
      </c>
      <c r="B55" s="18" t="n">
        <v>26743.05</v>
      </c>
      <c r="C55" s="18" t="n">
        <v>100956.79</v>
      </c>
      <c r="D55" s="18" t="n">
        <v>95643.25999999999</v>
      </c>
      <c r="E55" s="18" t="n">
        <v>8195.700000000001</v>
      </c>
      <c r="F55" s="18" t="n">
        <v>50765.34</v>
      </c>
      <c r="G55" s="18" t="n">
        <v>152462.38</v>
      </c>
      <c r="H55" s="18" t="n">
        <v>12484.64</v>
      </c>
      <c r="I55" s="18" t="n">
        <v>7980.69</v>
      </c>
      <c r="J55" s="18" t="n">
        <v>36620.62</v>
      </c>
      <c r="K55" s="18" t="n">
        <v>64938.9</v>
      </c>
      <c r="L55" s="18" t="n">
        <v>64043.24</v>
      </c>
      <c r="M55" s="18" t="n">
        <v>540456.86</v>
      </c>
      <c r="N55" s="18">
        <f>SUM(B55:M55)</f>
        <v/>
      </c>
    </row>
    <row r="56">
      <c r="A56" s="17" t="n">
        <v>2025</v>
      </c>
      <c r="B56" s="18" t="n">
        <v>399037.61</v>
      </c>
      <c r="C56" s="18" t="n">
        <v>1526.86</v>
      </c>
      <c r="D56" s="18" t="n">
        <v>34108.41</v>
      </c>
      <c r="E56" s="18" t="n">
        <v>14330.6</v>
      </c>
      <c r="F56" s="18" t="n">
        <v>4634.3</v>
      </c>
      <c r="G56" s="18" t="n">
        <v>47481.74</v>
      </c>
      <c r="H56" s="18" t="n">
        <v>62572.25</v>
      </c>
      <c r="I56" s="18" t="n">
        <v>107029.35</v>
      </c>
      <c r="J56" s="18" t="n">
        <v>4096.92</v>
      </c>
      <c r="K56" s="18" t="n">
        <v>108796.02</v>
      </c>
      <c r="L56" s="18" t="n">
        <v>336070.67</v>
      </c>
      <c r="M56" s="18" t="n">
        <v>176382.42</v>
      </c>
      <c r="N56" s="18">
        <f>SUM(B56:M56)</f>
        <v/>
      </c>
    </row>
    <row r="57">
      <c r="A57" s="20" t="n">
        <v>2026</v>
      </c>
      <c r="B57" s="21" t="n">
        <v>32020.17</v>
      </c>
      <c r="C57" s="21" t="n">
        <v>78565.28999999999</v>
      </c>
      <c r="D57" s="21" t="n">
        <v>88547.91</v>
      </c>
      <c r="E57" s="21" t="n">
        <v>36334.09</v>
      </c>
      <c r="F57" s="21" t="n">
        <v>45797.8</v>
      </c>
      <c r="G57" s="21" t="n">
        <v>66020.17</v>
      </c>
      <c r="H57" s="21" t="n">
        <v>273434.6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523371.08</v>
      </c>
      <c r="N57" s="21">
        <f>SUM(B57:M57)</f>
        <v/>
      </c>
    </row>
    <row r="58"/>
    <row r="59"/>
    <row r="60">
      <c r="A60" s="22" t="inlineStr">
        <is>
          <t>PETROQUIMICA</t>
        </is>
      </c>
    </row>
    <row r="61">
      <c r="A61" s="16" t="inlineStr">
        <is>
          <t>Año</t>
        </is>
      </c>
      <c r="B61" s="16" t="inlineStr">
        <is>
          <t>ENE</t>
        </is>
      </c>
      <c r="C61" s="16" t="inlineStr">
        <is>
          <t>FEB</t>
        </is>
      </c>
      <c r="D61" s="16" t="inlineStr">
        <is>
          <t>MAR</t>
        </is>
      </c>
      <c r="E61" s="16" t="inlineStr">
        <is>
          <t>ABR</t>
        </is>
      </c>
      <c r="F61" s="16" t="inlineStr">
        <is>
          <t>MAY</t>
        </is>
      </c>
      <c r="G61" s="16" t="inlineStr">
        <is>
          <t>JUN</t>
        </is>
      </c>
      <c r="H61" s="16" t="inlineStr">
        <is>
          <t>JUL</t>
        </is>
      </c>
      <c r="I61" s="16" t="inlineStr">
        <is>
          <t>AGO</t>
        </is>
      </c>
      <c r="J61" s="16" t="inlineStr">
        <is>
          <t>SEP</t>
        </is>
      </c>
      <c r="K61" s="16" t="inlineStr">
        <is>
          <t>OCT</t>
        </is>
      </c>
      <c r="L61" s="16" t="inlineStr">
        <is>
          <t>NOV</t>
        </is>
      </c>
      <c r="M61" s="16" t="inlineStr">
        <is>
          <t>DIC</t>
        </is>
      </c>
      <c r="N61" s="16" t="inlineStr">
        <is>
          <t>Total</t>
        </is>
      </c>
    </row>
    <row r="62">
      <c r="A62" s="17" t="n">
        <v>2011</v>
      </c>
      <c r="B62" s="18" t="n">
        <v>0</v>
      </c>
      <c r="C62" s="18" t="n">
        <v>0</v>
      </c>
      <c r="D62" s="18" t="n">
        <v>0</v>
      </c>
      <c r="E62" s="18" t="n">
        <v>0</v>
      </c>
      <c r="F62" s="18" t="n">
        <v>5468.28</v>
      </c>
      <c r="G62" s="18" t="n">
        <v>0</v>
      </c>
      <c r="H62" s="18" t="n">
        <v>4773.72</v>
      </c>
      <c r="I62" s="18" t="n">
        <v>13919.66</v>
      </c>
      <c r="J62" s="18" t="n">
        <v>1104</v>
      </c>
      <c r="K62" s="18" t="n">
        <v>0</v>
      </c>
      <c r="L62" s="18" t="n">
        <v>43210</v>
      </c>
      <c r="M62" s="18" t="n">
        <v>363</v>
      </c>
      <c r="N62" s="18">
        <f>SUM(B62:M62)</f>
        <v/>
      </c>
    </row>
    <row r="63">
      <c r="A63" s="17" t="n">
        <v>2012</v>
      </c>
      <c r="B63" s="18" t="n">
        <v>0</v>
      </c>
      <c r="C63" s="18" t="n">
        <v>13861.19</v>
      </c>
      <c r="D63" s="18" t="n">
        <v>1073</v>
      </c>
      <c r="E63" s="18" t="n">
        <v>1053</v>
      </c>
      <c r="F63" s="18" t="n">
        <v>3010</v>
      </c>
      <c r="G63" s="18" t="n">
        <v>2677.05</v>
      </c>
      <c r="H63" s="18" t="n">
        <v>0</v>
      </c>
      <c r="I63" s="18" t="n">
        <v>105568.43</v>
      </c>
      <c r="J63" s="18" t="n">
        <v>53389.23</v>
      </c>
      <c r="K63" s="18" t="n">
        <v>509</v>
      </c>
      <c r="L63" s="18" t="n">
        <v>1642.88</v>
      </c>
      <c r="M63" s="18" t="n">
        <v>0</v>
      </c>
      <c r="N63" s="18">
        <f>SUM(B63:M63)</f>
        <v/>
      </c>
    </row>
    <row r="64">
      <c r="A64" s="17" t="n">
        <v>2013</v>
      </c>
      <c r="B64" s="18" t="n">
        <v>1659.12</v>
      </c>
      <c r="C64" s="18" t="n">
        <v>14352.53</v>
      </c>
      <c r="D64" s="18" t="n">
        <v>15850.32</v>
      </c>
      <c r="E64" s="18" t="n">
        <v>59939.15</v>
      </c>
      <c r="F64" s="18" t="n">
        <v>38156.95</v>
      </c>
      <c r="G64" s="18" t="n">
        <v>3181.34</v>
      </c>
      <c r="H64" s="18" t="n">
        <v>14384.07</v>
      </c>
      <c r="I64" s="18" t="n">
        <v>26043.82</v>
      </c>
      <c r="J64" s="18" t="n">
        <v>11998.09</v>
      </c>
      <c r="K64" s="18" t="n">
        <v>2709.1</v>
      </c>
      <c r="L64" s="18" t="n">
        <v>0</v>
      </c>
      <c r="M64" s="18" t="n">
        <v>12296</v>
      </c>
      <c r="N64" s="18">
        <f>SUM(B64:M64)</f>
        <v/>
      </c>
    </row>
    <row r="65">
      <c r="A65" s="17" t="n">
        <v>2014</v>
      </c>
      <c r="B65" s="18" t="n">
        <v>3588</v>
      </c>
      <c r="C65" s="18" t="n">
        <v>24847.99</v>
      </c>
      <c r="D65" s="18" t="n">
        <v>0</v>
      </c>
      <c r="E65" s="18" t="n">
        <v>14548</v>
      </c>
      <c r="F65" s="18" t="n">
        <v>3520</v>
      </c>
      <c r="G65" s="18" t="n">
        <v>34875.43</v>
      </c>
      <c r="H65" s="18" t="n">
        <v>2055</v>
      </c>
      <c r="I65" s="18" t="n">
        <v>360</v>
      </c>
      <c r="J65" s="18" t="n">
        <v>0</v>
      </c>
      <c r="K65" s="18" t="n">
        <v>9068.299999999999</v>
      </c>
      <c r="L65" s="18" t="n">
        <v>0</v>
      </c>
      <c r="M65" s="18" t="n">
        <v>1028.5</v>
      </c>
      <c r="N65" s="18">
        <f>SUM(B65:M65)</f>
        <v/>
      </c>
    </row>
    <row r="66">
      <c r="A66" s="17" t="n">
        <v>2015</v>
      </c>
      <c r="B66" s="18" t="n">
        <v>14229.12</v>
      </c>
      <c r="C66" s="18" t="n">
        <v>7866.1</v>
      </c>
      <c r="D66" s="18" t="n">
        <v>984.48</v>
      </c>
      <c r="E66" s="18" t="n">
        <v>7838.49</v>
      </c>
      <c r="F66" s="18" t="n">
        <v>1217.66</v>
      </c>
      <c r="G66" s="18" t="n">
        <v>4848.44</v>
      </c>
      <c r="H66" s="18" t="n">
        <v>0</v>
      </c>
      <c r="I66" s="18" t="n">
        <v>0</v>
      </c>
      <c r="J66" s="18" t="n">
        <v>33908.81</v>
      </c>
      <c r="K66" s="18" t="n">
        <v>25648.62</v>
      </c>
      <c r="L66" s="18" t="n">
        <v>5282.88</v>
      </c>
      <c r="M66" s="18" t="n">
        <v>5856.21</v>
      </c>
      <c r="N66" s="18">
        <f>SUM(B66:M66)</f>
        <v/>
      </c>
    </row>
    <row r="67">
      <c r="A67" s="17" t="n">
        <v>2016</v>
      </c>
      <c r="B67" s="18" t="n">
        <v>20374.96</v>
      </c>
      <c r="C67" s="18" t="n">
        <v>9826.620000000001</v>
      </c>
      <c r="D67" s="18" t="n">
        <v>8226</v>
      </c>
      <c r="E67" s="18" t="n">
        <v>93.09999999999999</v>
      </c>
      <c r="F67" s="18" t="n">
        <v>7169.29</v>
      </c>
      <c r="G67" s="18" t="n">
        <v>15061.47</v>
      </c>
      <c r="H67" s="18" t="n">
        <v>41332.32</v>
      </c>
      <c r="I67" s="18" t="n">
        <v>18089.06</v>
      </c>
      <c r="J67" s="18" t="n">
        <v>2625.84</v>
      </c>
      <c r="K67" s="18" t="n">
        <v>3397.28</v>
      </c>
      <c r="L67" s="18" t="n">
        <v>0</v>
      </c>
      <c r="M67" s="18" t="n">
        <v>4403</v>
      </c>
      <c r="N67" s="18">
        <f>SUM(B67:M67)</f>
        <v/>
      </c>
    </row>
    <row r="68">
      <c r="A68" s="17" t="n">
        <v>2017</v>
      </c>
      <c r="B68" s="18" t="n">
        <v>2400</v>
      </c>
      <c r="C68" s="18" t="n">
        <v>4167</v>
      </c>
      <c r="D68" s="18" t="n">
        <v>22372.52</v>
      </c>
      <c r="E68" s="18" t="n">
        <v>82325.25999999999</v>
      </c>
      <c r="F68" s="18" t="n">
        <v>4413.7</v>
      </c>
      <c r="G68" s="18" t="n">
        <v>0</v>
      </c>
      <c r="H68" s="18" t="n">
        <v>34010.45</v>
      </c>
      <c r="I68" s="18" t="n">
        <v>10047.04</v>
      </c>
      <c r="J68" s="18" t="n">
        <v>37740.95</v>
      </c>
      <c r="K68" s="18" t="n">
        <v>32464.09</v>
      </c>
      <c r="L68" s="18" t="n">
        <v>18921.38</v>
      </c>
      <c r="M68" s="18" t="n">
        <v>0</v>
      </c>
      <c r="N68" s="18">
        <f>SUM(B68:M68)</f>
        <v/>
      </c>
    </row>
    <row r="69">
      <c r="A69" s="17" t="n">
        <v>2018</v>
      </c>
      <c r="B69" s="18" t="n">
        <v>7968.5</v>
      </c>
      <c r="C69" s="18" t="n">
        <v>5401.4</v>
      </c>
      <c r="D69" s="18" t="n">
        <v>7433.89</v>
      </c>
      <c r="E69" s="18" t="n">
        <v>12606.02</v>
      </c>
      <c r="F69" s="18" t="n">
        <v>16316.77</v>
      </c>
      <c r="G69" s="18" t="n">
        <v>1800</v>
      </c>
      <c r="H69" s="18" t="n">
        <v>10149.57</v>
      </c>
      <c r="I69" s="18" t="n">
        <v>12383.67</v>
      </c>
      <c r="J69" s="18" t="n">
        <v>12903.52</v>
      </c>
      <c r="K69" s="18" t="n">
        <v>131483.24</v>
      </c>
      <c r="L69" s="18" t="n">
        <v>37845.1</v>
      </c>
      <c r="M69" s="18" t="n">
        <v>3640.16</v>
      </c>
      <c r="N69" s="18">
        <f>SUM(B69:M69)</f>
        <v/>
      </c>
    </row>
    <row r="70">
      <c r="A70" s="17" t="n">
        <v>2019</v>
      </c>
      <c r="B70" s="18" t="n">
        <v>466435.24</v>
      </c>
      <c r="C70" s="18" t="n">
        <v>13034.94</v>
      </c>
      <c r="D70" s="18" t="n">
        <v>233422.76</v>
      </c>
      <c r="E70" s="18" t="n">
        <v>76660</v>
      </c>
      <c r="F70" s="18" t="n">
        <v>6802</v>
      </c>
      <c r="G70" s="18" t="n">
        <v>6953.52</v>
      </c>
      <c r="H70" s="18" t="n">
        <v>0</v>
      </c>
      <c r="I70" s="18" t="n">
        <v>33360.32</v>
      </c>
      <c r="J70" s="18" t="n">
        <v>14014.59</v>
      </c>
      <c r="K70" s="18" t="n">
        <v>25336.44</v>
      </c>
      <c r="L70" s="18" t="n">
        <v>17553.99</v>
      </c>
      <c r="M70" s="18" t="n">
        <v>2355.18</v>
      </c>
      <c r="N70" s="18">
        <f>SUM(B70:M70)</f>
        <v/>
      </c>
    </row>
    <row r="71">
      <c r="A71" s="17" t="n">
        <v>2020</v>
      </c>
      <c r="B71" s="18" t="n">
        <v>101614.12</v>
      </c>
      <c r="C71" s="18" t="n">
        <v>13024.59</v>
      </c>
      <c r="D71" s="18" t="n">
        <v>3089.01</v>
      </c>
      <c r="E71" s="18" t="n">
        <v>390</v>
      </c>
      <c r="F71" s="18" t="n">
        <v>48185.67</v>
      </c>
      <c r="G71" s="18" t="n">
        <v>4778.64</v>
      </c>
      <c r="H71" s="18" t="n">
        <v>835.36</v>
      </c>
      <c r="I71" s="18" t="n">
        <v>84176.5</v>
      </c>
      <c r="J71" s="18" t="n">
        <v>17431.97</v>
      </c>
      <c r="K71" s="18" t="n">
        <v>0</v>
      </c>
      <c r="L71" s="18" t="n">
        <v>6427.5</v>
      </c>
      <c r="M71" s="18" t="n">
        <v>27590.72</v>
      </c>
      <c r="N71" s="18">
        <f>SUM(B71:M71)</f>
        <v/>
      </c>
    </row>
    <row r="72">
      <c r="A72" s="17" t="n">
        <v>2021</v>
      </c>
      <c r="B72" s="18" t="n">
        <v>3420</v>
      </c>
      <c r="C72" s="18" t="n">
        <v>450</v>
      </c>
      <c r="D72" s="18" t="n">
        <v>25941.8</v>
      </c>
      <c r="E72" s="18" t="n">
        <v>365</v>
      </c>
      <c r="F72" s="18" t="n">
        <v>6052.51</v>
      </c>
      <c r="G72" s="18" t="n">
        <v>3531.68</v>
      </c>
      <c r="H72" s="18" t="n">
        <v>0</v>
      </c>
      <c r="I72" s="18" t="n">
        <v>4689.02</v>
      </c>
      <c r="J72" s="18" t="n">
        <v>19843.58</v>
      </c>
      <c r="K72" s="18" t="n">
        <v>14295.16</v>
      </c>
      <c r="L72" s="18" t="n">
        <v>114442.35</v>
      </c>
      <c r="M72" s="18" t="n">
        <v>14476.34</v>
      </c>
      <c r="N72" s="18">
        <f>SUM(B72:M72)</f>
        <v/>
      </c>
    </row>
    <row r="73">
      <c r="A73" s="17" t="n">
        <v>2022</v>
      </c>
      <c r="B73" s="18" t="n">
        <v>67901.98</v>
      </c>
      <c r="C73" s="18" t="n">
        <v>0</v>
      </c>
      <c r="D73" s="18" t="n">
        <v>8327.98</v>
      </c>
      <c r="E73" s="18" t="n">
        <v>3376.22</v>
      </c>
      <c r="F73" s="18" t="n">
        <v>388.73</v>
      </c>
      <c r="G73" s="18" t="n">
        <v>390</v>
      </c>
      <c r="H73" s="18" t="n">
        <v>8060</v>
      </c>
      <c r="I73" s="18" t="n">
        <v>6960</v>
      </c>
      <c r="J73" s="18" t="n">
        <v>49249.2</v>
      </c>
      <c r="K73" s="18" t="n">
        <v>1470</v>
      </c>
      <c r="L73" s="18" t="n">
        <v>16281.31</v>
      </c>
      <c r="M73" s="18" t="n">
        <v>0</v>
      </c>
      <c r="N73" s="18">
        <f>SUM(B73:M73)</f>
        <v/>
      </c>
    </row>
    <row r="74">
      <c r="A74" s="17" t="n">
        <v>2023</v>
      </c>
      <c r="B74" s="18" t="n">
        <v>6048.14</v>
      </c>
      <c r="C74" s="18" t="n">
        <v>1986.99</v>
      </c>
      <c r="D74" s="18" t="n">
        <v>1686</v>
      </c>
      <c r="E74" s="18" t="n">
        <v>64.08</v>
      </c>
      <c r="F74" s="18" t="n">
        <v>0</v>
      </c>
      <c r="G74" s="18" t="n">
        <v>670</v>
      </c>
      <c r="H74" s="18" t="n">
        <v>0</v>
      </c>
      <c r="I74" s="18" t="n">
        <v>0</v>
      </c>
      <c r="J74" s="18" t="n">
        <v>0</v>
      </c>
      <c r="K74" s="18" t="n">
        <v>51994.16</v>
      </c>
      <c r="L74" s="18" t="n">
        <v>58893.71</v>
      </c>
      <c r="M74" s="18" t="n">
        <v>131402.06</v>
      </c>
      <c r="N74" s="18">
        <f>SUM(B74:M74)</f>
        <v/>
      </c>
    </row>
    <row r="75">
      <c r="A75" s="17" t="n">
        <v>2024</v>
      </c>
      <c r="B75" s="18" t="n">
        <v>0</v>
      </c>
      <c r="C75" s="18" t="n">
        <v>184968.58</v>
      </c>
      <c r="D75" s="18" t="n">
        <v>0</v>
      </c>
      <c r="E75" s="18" t="n">
        <v>5100</v>
      </c>
      <c r="F75" s="18" t="n">
        <v>290</v>
      </c>
      <c r="G75" s="18" t="n">
        <v>13314.54</v>
      </c>
      <c r="H75" s="18" t="n">
        <v>0</v>
      </c>
      <c r="I75" s="18" t="n">
        <v>410</v>
      </c>
      <c r="J75" s="18" t="n">
        <v>3609.27</v>
      </c>
      <c r="K75" s="18" t="n">
        <v>760</v>
      </c>
      <c r="L75" s="18" t="n">
        <v>9815</v>
      </c>
      <c r="M75" s="18" t="n">
        <v>34989.64</v>
      </c>
      <c r="N75" s="18">
        <f>SUM(B75:M75)</f>
        <v/>
      </c>
    </row>
    <row r="76">
      <c r="A76" s="17" t="n">
        <v>2025</v>
      </c>
      <c r="B76" s="18" t="n">
        <v>4326.68</v>
      </c>
      <c r="C76" s="18" t="n">
        <v>0</v>
      </c>
      <c r="D76" s="18" t="n">
        <v>4039.69</v>
      </c>
      <c r="E76" s="18" t="n">
        <v>6892.8</v>
      </c>
      <c r="F76" s="18" t="n">
        <v>9505.41</v>
      </c>
      <c r="G76" s="18" t="n">
        <v>5401.51</v>
      </c>
      <c r="H76" s="18" t="n">
        <v>1178.96</v>
      </c>
      <c r="I76" s="18" t="n">
        <v>0</v>
      </c>
      <c r="J76" s="18" t="n">
        <v>0</v>
      </c>
      <c r="K76" s="18" t="n">
        <v>0</v>
      </c>
      <c r="L76" s="18" t="n">
        <v>8130</v>
      </c>
      <c r="M76" s="18" t="n">
        <v>194620</v>
      </c>
      <c r="N76" s="18">
        <f>SUM(B76:M76)</f>
        <v/>
      </c>
    </row>
    <row r="77">
      <c r="A77" s="20" t="n">
        <v>2026</v>
      </c>
      <c r="B77" s="21" t="n">
        <v>0</v>
      </c>
      <c r="C77" s="21" t="n">
        <v>170600</v>
      </c>
      <c r="D77" s="21" t="n">
        <v>4640</v>
      </c>
      <c r="E77" s="21" t="n">
        <v>0</v>
      </c>
      <c r="F77" s="21" t="n">
        <v>1420</v>
      </c>
      <c r="G77" s="21" t="n">
        <v>21848.8</v>
      </c>
      <c r="H77" s="21" t="n">
        <v>3080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32050</v>
      </c>
      <c r="N77" s="21">
        <f>SUM(B77:M77)</f>
        <v/>
      </c>
    </row>
    <row r="78"/>
    <row r="79"/>
    <row r="80">
      <c r="A80" s="22" t="inlineStr">
        <is>
          <t>SAFETY</t>
        </is>
      </c>
    </row>
    <row r="81">
      <c r="A81" s="16" t="inlineStr">
        <is>
          <t>Año</t>
        </is>
      </c>
      <c r="B81" s="16" t="inlineStr">
        <is>
          <t>ENE</t>
        </is>
      </c>
      <c r="C81" s="16" t="inlineStr">
        <is>
          <t>FEB</t>
        </is>
      </c>
      <c r="D81" s="16" t="inlineStr">
        <is>
          <t>MAR</t>
        </is>
      </c>
      <c r="E81" s="16" t="inlineStr">
        <is>
          <t>ABR</t>
        </is>
      </c>
      <c r="F81" s="16" t="inlineStr">
        <is>
          <t>MAY</t>
        </is>
      </c>
      <c r="G81" s="16" t="inlineStr">
        <is>
          <t>JUN</t>
        </is>
      </c>
      <c r="H81" s="16" t="inlineStr">
        <is>
          <t>JUL</t>
        </is>
      </c>
      <c r="I81" s="16" t="inlineStr">
        <is>
          <t>AGO</t>
        </is>
      </c>
      <c r="J81" s="16" t="inlineStr">
        <is>
          <t>SEP</t>
        </is>
      </c>
      <c r="K81" s="16" t="inlineStr">
        <is>
          <t>OCT</t>
        </is>
      </c>
      <c r="L81" s="16" t="inlineStr">
        <is>
          <t>NOV</t>
        </is>
      </c>
      <c r="M81" s="16" t="inlineStr">
        <is>
          <t>DIC</t>
        </is>
      </c>
      <c r="N81" s="16" t="inlineStr">
        <is>
          <t>Total</t>
        </is>
      </c>
    </row>
    <row r="82">
      <c r="A82" s="17" t="n">
        <v>2011</v>
      </c>
      <c r="B82" s="18" t="n">
        <v>0</v>
      </c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>
        <f>SUM(B82:M82)</f>
        <v/>
      </c>
    </row>
    <row r="83">
      <c r="A83" s="17" t="n">
        <v>2012</v>
      </c>
      <c r="B83" s="18" t="n">
        <v>0</v>
      </c>
      <c r="C83" s="18" t="n">
        <v>0</v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>
        <f>SUM(B83:M83)</f>
        <v/>
      </c>
    </row>
    <row r="84">
      <c r="A84" s="17" t="n">
        <v>2013</v>
      </c>
      <c r="B84" s="18" t="n">
        <v>0</v>
      </c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>
        <f>SUM(B84:M84)</f>
        <v/>
      </c>
    </row>
    <row r="85">
      <c r="A85" s="17" t="n">
        <v>2014</v>
      </c>
      <c r="B85" s="18" t="n">
        <v>0</v>
      </c>
      <c r="C85" s="18" t="n">
        <v>0</v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>
        <f>SUM(B85:M85)</f>
        <v/>
      </c>
    </row>
    <row r="86">
      <c r="A86" s="17" t="n">
        <v>2015</v>
      </c>
      <c r="B86" s="18" t="n">
        <v>0</v>
      </c>
      <c r="C86" s="18" t="n">
        <v>0</v>
      </c>
      <c r="D86" s="18" t="n">
        <v>0</v>
      </c>
      <c r="E86" s="18" t="n">
        <v>0</v>
      </c>
      <c r="F86" s="18" t="n">
        <v>0</v>
      </c>
      <c r="G86" s="18" t="n">
        <v>0</v>
      </c>
      <c r="H86" s="18" t="n">
        <v>0</v>
      </c>
      <c r="I86" s="18" t="n">
        <v>0</v>
      </c>
      <c r="J86" s="18" t="n">
        <v>0</v>
      </c>
      <c r="K86" s="18" t="n">
        <v>0</v>
      </c>
      <c r="L86" s="18" t="n">
        <v>0</v>
      </c>
      <c r="M86" s="18" t="n">
        <v>0</v>
      </c>
      <c r="N86" s="18">
        <f>SUM(B86:M86)</f>
        <v/>
      </c>
    </row>
    <row r="87">
      <c r="A87" s="17" t="n">
        <v>2016</v>
      </c>
      <c r="B87" s="18" t="n">
        <v>0</v>
      </c>
      <c r="C87" s="18" t="n">
        <v>0</v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>
        <f>SUM(B87:M87)</f>
        <v/>
      </c>
    </row>
    <row r="88">
      <c r="A88" s="17" t="n">
        <v>2017</v>
      </c>
      <c r="B88" s="18" t="n">
        <v>0</v>
      </c>
      <c r="C88" s="18" t="n">
        <v>0</v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>
        <f>SUM(B88:M88)</f>
        <v/>
      </c>
    </row>
    <row r="89">
      <c r="A89" s="17" t="n">
        <v>2018</v>
      </c>
      <c r="B89" s="18" t="n">
        <v>0</v>
      </c>
      <c r="C89" s="18" t="n">
        <v>0</v>
      </c>
      <c r="D89" s="18" t="n">
        <v>0</v>
      </c>
      <c r="E89" s="18" t="n">
        <v>487</v>
      </c>
      <c r="F89" s="18" t="n">
        <v>1600</v>
      </c>
      <c r="G89" s="18" t="n">
        <v>0</v>
      </c>
      <c r="H89" s="18" t="n">
        <v>4000</v>
      </c>
      <c r="I89" s="18" t="n">
        <v>49860</v>
      </c>
      <c r="J89" s="18" t="n">
        <v>45409.77</v>
      </c>
      <c r="K89" s="18" t="n">
        <v>84970</v>
      </c>
      <c r="L89" s="18" t="n">
        <v>17700</v>
      </c>
      <c r="M89" s="18" t="n">
        <v>0</v>
      </c>
      <c r="N89" s="18">
        <f>SUM(B89:M89)</f>
        <v/>
      </c>
    </row>
    <row r="90">
      <c r="A90" s="17" t="n">
        <v>2019</v>
      </c>
      <c r="B90" s="18" t="n">
        <v>700</v>
      </c>
      <c r="C90" s="18" t="n">
        <v>0</v>
      </c>
      <c r="D90" s="18" t="n">
        <v>600</v>
      </c>
      <c r="E90" s="18" t="n">
        <v>4277.02</v>
      </c>
      <c r="F90" s="18" t="n">
        <v>0</v>
      </c>
      <c r="G90" s="18" t="n">
        <v>1800</v>
      </c>
      <c r="H90" s="18" t="n">
        <v>0</v>
      </c>
      <c r="I90" s="18" t="n">
        <v>2929.61</v>
      </c>
      <c r="J90" s="18" t="n">
        <v>262354.92</v>
      </c>
      <c r="K90" s="18" t="n">
        <v>15217.6</v>
      </c>
      <c r="L90" s="18" t="n">
        <v>125619.62</v>
      </c>
      <c r="M90" s="18" t="n">
        <v>2050</v>
      </c>
      <c r="N90" s="18">
        <f>SUM(B90:M90)</f>
        <v/>
      </c>
    </row>
    <row r="91">
      <c r="A91" s="17" t="n">
        <v>2020</v>
      </c>
      <c r="B91" s="18" t="n">
        <v>250</v>
      </c>
      <c r="C91" s="18" t="n">
        <v>880</v>
      </c>
      <c r="D91" s="18" t="n">
        <v>0</v>
      </c>
      <c r="E91" s="18" t="n">
        <v>56000</v>
      </c>
      <c r="F91" s="18" t="n">
        <v>15000</v>
      </c>
      <c r="G91" s="18" t="n">
        <v>0</v>
      </c>
      <c r="H91" s="18" t="n">
        <v>8827.51</v>
      </c>
      <c r="I91" s="18" t="n">
        <v>5150</v>
      </c>
      <c r="J91" s="18" t="n">
        <v>4980</v>
      </c>
      <c r="K91" s="18" t="n">
        <v>4069</v>
      </c>
      <c r="L91" s="18" t="n">
        <v>12035</v>
      </c>
      <c r="M91" s="18" t="n">
        <v>216995.41</v>
      </c>
      <c r="N91" s="18">
        <f>SUM(B91:M91)</f>
        <v/>
      </c>
    </row>
    <row r="92">
      <c r="A92" s="17" t="n">
        <v>2021</v>
      </c>
      <c r="B92" s="18" t="n">
        <v>3000</v>
      </c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111530.38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9920</v>
      </c>
      <c r="N92" s="18">
        <f>SUM(B92:M92)</f>
        <v/>
      </c>
    </row>
    <row r="93">
      <c r="A93" s="17" t="n">
        <v>2022</v>
      </c>
      <c r="B93" s="18" t="n">
        <v>0</v>
      </c>
      <c r="C93" s="18" t="n">
        <v>5415.99</v>
      </c>
      <c r="D93" s="18" t="n">
        <v>0</v>
      </c>
      <c r="E93" s="18" t="n">
        <v>3665.24</v>
      </c>
      <c r="F93" s="18" t="n">
        <v>27340.77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>
        <f>SUM(B93:M93)</f>
        <v/>
      </c>
    </row>
    <row r="94">
      <c r="A94" s="17" t="n">
        <v>2023</v>
      </c>
      <c r="B94" s="18" t="n">
        <v>0</v>
      </c>
      <c r="C94" s="18" t="n">
        <v>0</v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>
        <f>SUM(B94:M94)</f>
        <v/>
      </c>
    </row>
    <row r="95">
      <c r="A95" s="17" t="n">
        <v>2024</v>
      </c>
      <c r="B95" s="18" t="n">
        <v>0</v>
      </c>
      <c r="C95" s="18" t="n">
        <v>0</v>
      </c>
      <c r="D95" s="18" t="n">
        <v>0</v>
      </c>
      <c r="E95" s="18" t="n">
        <v>0</v>
      </c>
      <c r="F95" s="18" t="n">
        <v>0</v>
      </c>
      <c r="G95" s="18" t="n">
        <v>0</v>
      </c>
      <c r="H95" s="18" t="n">
        <v>0</v>
      </c>
      <c r="I95" s="18" t="n">
        <v>0</v>
      </c>
      <c r="J95" s="18" t="n">
        <v>0</v>
      </c>
      <c r="K95" s="18" t="n">
        <v>0</v>
      </c>
      <c r="L95" s="18" t="n">
        <v>2114</v>
      </c>
      <c r="M95" s="18" t="n">
        <v>0</v>
      </c>
      <c r="N95" s="18">
        <f>SUM(B95:M95)</f>
        <v/>
      </c>
    </row>
    <row r="96">
      <c r="A96" s="17" t="n">
        <v>2025</v>
      </c>
      <c r="B96" s="18" t="n">
        <v>0</v>
      </c>
      <c r="C96" s="18" t="n">
        <v>0</v>
      </c>
      <c r="D96" s="18" t="n">
        <v>0</v>
      </c>
      <c r="E96" s="18" t="n">
        <v>0</v>
      </c>
      <c r="F96" s="18" t="n">
        <v>0</v>
      </c>
      <c r="G96" s="18" t="n">
        <v>11821.2</v>
      </c>
      <c r="H96" s="18" t="n">
        <v>0</v>
      </c>
      <c r="I96" s="18" t="n">
        <v>0</v>
      </c>
      <c r="J96" s="18" t="n">
        <v>0</v>
      </c>
      <c r="K96" s="18" t="n">
        <v>0</v>
      </c>
      <c r="L96" s="18" t="n">
        <v>608.5</v>
      </c>
      <c r="M96" s="18" t="n">
        <v>5950</v>
      </c>
      <c r="N96" s="18">
        <f>SUM(B96:M96)</f>
        <v/>
      </c>
    </row>
    <row r="97">
      <c r="A97" s="20" t="n">
        <v>2026</v>
      </c>
      <c r="B97" s="21" t="n">
        <v>0</v>
      </c>
      <c r="C97" s="21" t="n">
        <v>0</v>
      </c>
      <c r="D97" s="21" t="n">
        <v>0</v>
      </c>
      <c r="E97" s="21" t="n">
        <v>0</v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>
        <f>SUM(B97:M97)</f>
        <v/>
      </c>
    </row>
  </sheetData>
  <mergeCells count="4">
    <mergeCell ref="A40:N40"/>
    <mergeCell ref="A60:N60"/>
    <mergeCell ref="A20:N20"/>
    <mergeCell ref="A80:N8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" customWidth="1" min="11" max="11"/>
    <col width="12" customWidth="1" min="12" max="12"/>
    <col width="18" customWidth="1" min="13" max="13"/>
  </cols>
  <sheetData>
    <row r="1">
      <c r="A1" s="1" t="inlineStr">
        <is>
          <t>COMPARTIVA DE OBJETIVOS Y METAS</t>
        </is>
      </c>
    </row>
    <row r="2" ht="28" customHeight="1">
      <c r="A2" s="2" t="inlineStr">
        <is>
          <t>ÁREA</t>
        </is>
      </c>
      <c r="B2" s="2" t="inlineStr">
        <is>
          <t>OBJETIVO ANUAL MÁXIMO</t>
        </is>
      </c>
      <c r="C2" s="2" t="inlineStr">
        <is>
          <t>OBJETIVO ANUAL MÍNIMO</t>
        </is>
      </c>
      <c r="D2" s="2" t="inlineStr">
        <is>
          <t>LOGRADO</t>
        </is>
      </c>
      <c r="E2" s="2" t="inlineStr">
        <is>
          <t>OBJETIVO MAX MENSUAL</t>
        </is>
      </c>
      <c r="F2" s="2" t="inlineStr">
        <is>
          <t>OBJETIVO MIN MENSUAL</t>
        </is>
      </c>
      <c r="G2" s="2" t="inlineStr">
        <is>
          <t>DIFERENCIA C/ MÍNIMO</t>
        </is>
      </c>
      <c r="H2" s="2" t="inlineStr">
        <is>
          <t>DIFERENCIA C/ MÁXIMO</t>
        </is>
      </c>
      <c r="I2" s="2" t="inlineStr">
        <is>
          <t>FALTANTE AL MÍNIMO</t>
        </is>
      </c>
      <c r="J2" s="2" t="inlineStr">
        <is>
          <t>FALTANTE AL MÁXIMO</t>
        </is>
      </c>
      <c r="L2" s="23" t="inlineStr">
        <is>
          <t>Año</t>
        </is>
      </c>
      <c r="M2" s="23" t="inlineStr">
        <is>
          <t>Logrado</t>
        </is>
      </c>
    </row>
    <row r="3">
      <c r="A3" s="24" t="inlineStr">
        <is>
          <t>MIN</t>
        </is>
      </c>
      <c r="B3" s="25" t="n">
        <v>625000</v>
      </c>
      <c r="C3" s="25" t="n">
        <v>615000</v>
      </c>
      <c r="D3" s="25">
        <f>MIN!O12</f>
        <v/>
      </c>
      <c r="E3" s="25">
        <f>B3/12*8</f>
        <v/>
      </c>
      <c r="F3" s="25">
        <f>C3/12*8</f>
        <v/>
      </c>
      <c r="G3" s="25">
        <f>D3-F3</f>
        <v/>
      </c>
      <c r="H3" s="25">
        <f>D3-E3</f>
        <v/>
      </c>
      <c r="I3" s="25">
        <f>D3-C3</f>
        <v/>
      </c>
      <c r="J3" s="25">
        <f>D3-B3</f>
        <v/>
      </c>
      <c r="L3" s="26" t="n">
        <v>2014</v>
      </c>
      <c r="M3" s="27" t="n">
        <v>599213.6899999999</v>
      </c>
    </row>
    <row r="4">
      <c r="A4" s="28" t="inlineStr">
        <is>
          <t>IND</t>
        </is>
      </c>
      <c r="B4" s="29" t="n">
        <v>260000</v>
      </c>
      <c r="C4" s="29" t="n">
        <v>250000</v>
      </c>
      <c r="D4" s="29">
        <f>IND!O17</f>
        <v/>
      </c>
      <c r="E4" s="29">
        <f>B4/12*8</f>
        <v/>
      </c>
      <c r="F4" s="29">
        <f>C4/12*8</f>
        <v/>
      </c>
      <c r="G4" s="29">
        <f>D4-F4</f>
        <v/>
      </c>
      <c r="H4" s="29">
        <f>D4-E4</f>
        <v/>
      </c>
      <c r="I4" s="29">
        <f>D4-C4</f>
        <v/>
      </c>
      <c r="J4" s="29">
        <f>D4-B4</f>
        <v/>
      </c>
      <c r="L4" s="30" t="n">
        <v>2015</v>
      </c>
      <c r="M4" s="31" t="n">
        <v>791852.48</v>
      </c>
    </row>
    <row r="5">
      <c r="A5" s="24" t="inlineStr">
        <is>
          <t>OIL</t>
        </is>
      </c>
      <c r="B5" s="25" t="n">
        <v>230000</v>
      </c>
      <c r="C5" s="25" t="n">
        <v>220000</v>
      </c>
      <c r="D5" s="25">
        <f>OIL!O12</f>
        <v/>
      </c>
      <c r="E5" s="25">
        <f>B5/12*8</f>
        <v/>
      </c>
      <c r="F5" s="25">
        <f>C5/12*8</f>
        <v/>
      </c>
      <c r="G5" s="25">
        <f>D5-F5</f>
        <v/>
      </c>
      <c r="H5" s="25">
        <f>D5-E5</f>
        <v/>
      </c>
      <c r="I5" s="25">
        <f>D5-C5</f>
        <v/>
      </c>
      <c r="J5" s="25">
        <f>D5-B5</f>
        <v/>
      </c>
      <c r="L5" s="26" t="n">
        <v>2016</v>
      </c>
      <c r="M5" s="27" t="n">
        <v>546600.85</v>
      </c>
    </row>
    <row r="6">
      <c r="A6" s="28" t="inlineStr">
        <is>
          <t>SFY</t>
        </is>
      </c>
      <c r="B6" s="29" t="n">
        <v>90000</v>
      </c>
      <c r="C6" s="29" t="n">
        <v>80000</v>
      </c>
      <c r="D6" s="29">
        <f>SFY!O17</f>
        <v/>
      </c>
      <c r="E6" s="29">
        <f>B6/12*8</f>
        <v/>
      </c>
      <c r="F6" s="29">
        <f>C6/12*8</f>
        <v/>
      </c>
      <c r="G6" s="29">
        <f>D6-F6</f>
        <v/>
      </c>
      <c r="H6" s="29">
        <f>D6-E6</f>
        <v/>
      </c>
      <c r="I6" s="29">
        <f>D6-C6</f>
        <v/>
      </c>
      <c r="J6" s="29">
        <f>D6-B6</f>
        <v/>
      </c>
      <c r="L6" s="30" t="n">
        <v>2017</v>
      </c>
      <c r="M6" s="31" t="n">
        <v>586456.22</v>
      </c>
    </row>
    <row r="7">
      <c r="A7" s="32" t="inlineStr">
        <is>
          <t>TOTALES</t>
        </is>
      </c>
      <c r="B7" s="33">
        <f>SUM(B3:B6)</f>
        <v/>
      </c>
      <c r="C7" s="33">
        <f>SUM(C3:C6)</f>
        <v/>
      </c>
      <c r="D7" s="33">
        <f>SUM(D3:D6)</f>
        <v/>
      </c>
      <c r="E7" s="33">
        <f>SUM(E3:E6)</f>
        <v/>
      </c>
      <c r="F7" s="33">
        <f>SUM(F3:F6)</f>
        <v/>
      </c>
      <c r="G7" s="33">
        <f>D7-F7</f>
        <v/>
      </c>
      <c r="H7" s="33">
        <f>D7-E7</f>
        <v/>
      </c>
      <c r="I7" s="33">
        <f>D7-C7</f>
        <v/>
      </c>
      <c r="J7" s="33">
        <f>D7-B7</f>
        <v/>
      </c>
      <c r="L7" s="26" t="n">
        <v>2018</v>
      </c>
      <c r="M7" s="27" t="n">
        <v>815521.11</v>
      </c>
    </row>
    <row r="8">
      <c r="L8" s="30" t="n">
        <v>2019</v>
      </c>
      <c r="M8" s="31" t="n">
        <v>706732.22</v>
      </c>
    </row>
    <row r="9">
      <c r="C9" s="34" t="inlineStr">
        <is>
          <t>Faltante al Mínimo</t>
        </is>
      </c>
      <c r="D9" s="35">
        <f>C7-D7</f>
        <v/>
      </c>
      <c r="L9" s="26" t="n">
        <v>2020</v>
      </c>
      <c r="M9" s="27" t="n">
        <v>820464.89</v>
      </c>
    </row>
    <row r="10">
      <c r="C10" s="34" t="inlineStr">
        <is>
          <t>Faltante al Máximo</t>
        </is>
      </c>
      <c r="D10" s="35">
        <f>B7-D7</f>
        <v/>
      </c>
      <c r="L10" s="30" t="n">
        <v>2021</v>
      </c>
      <c r="M10" s="31" t="n">
        <v>475934.45</v>
      </c>
    </row>
    <row r="11">
      <c r="L11" s="26" t="n">
        <v>2022</v>
      </c>
      <c r="M11" s="27" t="n">
        <v>764082.8100000001</v>
      </c>
    </row>
    <row r="12">
      <c r="L12" s="30" t="n">
        <v>2023</v>
      </c>
      <c r="M12" s="31" t="n">
        <v>832552.59</v>
      </c>
    </row>
    <row r="13">
      <c r="B13" s="36" t="inlineStr">
        <is>
          <t>MÁXIMO</t>
        </is>
      </c>
      <c r="C13" s="37" t="n"/>
      <c r="D13" s="36" t="inlineStr">
        <is>
          <t>MÍNIMO</t>
        </is>
      </c>
      <c r="E13" s="37" t="n"/>
      <c r="L13" s="26" t="n">
        <v>2024</v>
      </c>
      <c r="M13" s="27" t="n">
        <v>865726.08</v>
      </c>
    </row>
    <row r="14" ht="20" customHeight="1">
      <c r="B14" s="38" t="inlineStr">
        <is>
          <t>Avance</t>
        </is>
      </c>
      <c r="C14" s="38" t="inlineStr">
        <is>
          <t>Faltante</t>
        </is>
      </c>
      <c r="D14" s="38" t="inlineStr">
        <is>
          <t>Avance</t>
        </is>
      </c>
      <c r="E14" s="38" t="inlineStr">
        <is>
          <t>Faltante</t>
        </is>
      </c>
      <c r="L14" s="30" t="n">
        <v>2025</v>
      </c>
      <c r="M14" s="31" t="n">
        <v>787520.0600000001</v>
      </c>
    </row>
    <row r="15" ht="20" customHeight="1">
      <c r="A15" s="26" t="inlineStr">
        <is>
          <t>MIN</t>
        </is>
      </c>
      <c r="B15" s="39">
        <f>(D3*100/E3)%</f>
        <v/>
      </c>
      <c r="C15" s="39">
        <f>100%-B15</f>
        <v/>
      </c>
      <c r="D15" s="39">
        <f>(D3*100/F3)%</f>
        <v/>
      </c>
      <c r="E15" s="39">
        <f>100%-D15</f>
        <v/>
      </c>
      <c r="L15" s="26" t="n">
        <v>2026</v>
      </c>
      <c r="M15" s="27">
        <f>D7</f>
        <v/>
      </c>
    </row>
    <row r="16" ht="20" customHeight="1">
      <c r="A16" s="30" t="inlineStr">
        <is>
          <t>IND</t>
        </is>
      </c>
      <c r="B16" s="40">
        <f>(D4*100/E4)%</f>
        <v/>
      </c>
      <c r="C16" s="40">
        <f>100%-B16</f>
        <v/>
      </c>
      <c r="D16" s="40">
        <f>(D4*100/F4)%</f>
        <v/>
      </c>
      <c r="E16" s="40">
        <f>100%-D16</f>
        <v/>
      </c>
    </row>
    <row r="17" ht="20" customHeight="1">
      <c r="A17" s="26" t="inlineStr">
        <is>
          <t>OIL</t>
        </is>
      </c>
      <c r="B17" s="39">
        <f>(D5*100/E5)%</f>
        <v/>
      </c>
      <c r="C17" s="39">
        <f>100%-B17</f>
        <v/>
      </c>
      <c r="D17" s="39">
        <f>(D5*100/F5)%</f>
        <v/>
      </c>
      <c r="E17" s="39">
        <f>100%-D17</f>
        <v/>
      </c>
    </row>
    <row r="18" ht="20" customHeight="1">
      <c r="A18" s="30" t="inlineStr">
        <is>
          <t>SFY</t>
        </is>
      </c>
      <c r="B18" s="40">
        <f>(D6*100/E6)%</f>
        <v/>
      </c>
      <c r="C18" s="40">
        <f>100%-B18</f>
        <v/>
      </c>
      <c r="D18" s="40">
        <f>(D6*100/F6)%</f>
        <v/>
      </c>
      <c r="E18" s="40">
        <f>100%-D18</f>
        <v/>
      </c>
    </row>
    <row r="19" ht="22" customHeight="1">
      <c r="A19" s="41" t="inlineStr">
        <is>
          <t>V&amp;C</t>
        </is>
      </c>
      <c r="B19" s="42">
        <f>(D7*100/E7)%</f>
        <v/>
      </c>
      <c r="C19" s="42">
        <f>100%-B19</f>
        <v/>
      </c>
      <c r="D19" s="42">
        <f>(D7*100/F7)%</f>
        <v/>
      </c>
      <c r="E19" s="42">
        <f>100%-D19</f>
        <v/>
      </c>
    </row>
  </sheetData>
  <mergeCells count="3">
    <mergeCell ref="B13:C13"/>
    <mergeCell ref="A1:J1"/>
    <mergeCell ref="D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21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>
      <c r="A1" s="43" t="inlineStr">
        <is>
          <t>MIN</t>
        </is>
      </c>
      <c r="B1" s="44" t="inlineStr">
        <is>
          <t>NOMBRE</t>
        </is>
      </c>
      <c r="C1" s="44" t="inlineStr">
        <is>
          <t>MAX</t>
        </is>
      </c>
      <c r="D1" s="44" t="inlineStr">
        <is>
          <t>MIN</t>
        </is>
      </c>
      <c r="E1" s="44" t="inlineStr">
        <is>
          <t>PRO. TRA.</t>
        </is>
      </c>
      <c r="F1" s="44" t="inlineStr">
        <is>
          <t>Obj. Max</t>
        </is>
      </c>
      <c r="G1" s="44" t="inlineStr">
        <is>
          <t>Obj. Min</t>
        </is>
      </c>
      <c r="H1" s="44" t="inlineStr">
        <is>
          <t>Conseguido</t>
        </is>
      </c>
      <c r="I1" s="44" t="inlineStr">
        <is>
          <t>% Max</t>
        </is>
      </c>
      <c r="J1" s="44" t="inlineStr">
        <is>
          <t>% Min</t>
        </is>
      </c>
    </row>
    <row r="2">
      <c r="A2" s="45" t="n"/>
      <c r="B2" s="46" t="inlineStr">
        <is>
          <t>Ana Claudia Carbonel Gomero</t>
        </is>
      </c>
      <c r="C2" s="47">
        <f>Objetivos!B3</f>
        <v/>
      </c>
      <c r="D2" s="47">
        <f>Objetivos!C3</f>
        <v/>
      </c>
      <c r="E2" s="48" t="n">
        <v>0.3333333333333333</v>
      </c>
      <c r="F2" s="49">
        <f>C$2*E2</f>
        <v/>
      </c>
      <c r="G2" s="49">
        <f>D$2*E2</f>
        <v/>
      </c>
      <c r="H2" s="49">
        <f>SUMIF(MIN!L:L,"Claudia",MIN!I:I)+SUMIF(MIN!L:L,"Claudia",MIN!K:K)</f>
        <v/>
      </c>
      <c r="I2" s="50">
        <f>IF(F2&gt;0,H2/F2,0)</f>
        <v/>
      </c>
      <c r="J2" s="50">
        <f>IF(G2&gt;0,H2/G2,0)</f>
        <v/>
      </c>
    </row>
    <row r="3">
      <c r="A3" s="45" t="n"/>
      <c r="B3" s="51" t="inlineStr">
        <is>
          <t>Luisa Oncebay Delgado</t>
        </is>
      </c>
      <c r="C3" s="45" t="n"/>
      <c r="D3" s="45" t="n"/>
      <c r="E3" s="52" t="n">
        <v>0.3333333333333333</v>
      </c>
      <c r="F3" s="53">
        <f>C$2*E3</f>
        <v/>
      </c>
      <c r="G3" s="53">
        <f>D$2*E3</f>
        <v/>
      </c>
      <c r="H3" s="53">
        <f>SUMIF(MIN!L:L,"Luisa",MIN!I:I)+SUMIF(MIN!L:L,"Luisa",MIN!K:K)</f>
        <v/>
      </c>
      <c r="I3" s="54">
        <f>IF(F3&gt;0,H3/F3,0)</f>
        <v/>
      </c>
      <c r="J3" s="54">
        <f>IF(G3&gt;0,H3/G3,0)</f>
        <v/>
      </c>
    </row>
    <row r="4">
      <c r="A4" s="45" t="n"/>
      <c r="B4" s="46" t="inlineStr">
        <is>
          <t>Pedro Eduardo Bonilla Cornejo</t>
        </is>
      </c>
      <c r="C4" s="55" t="n"/>
      <c r="D4" s="55" t="n"/>
      <c r="E4" s="48" t="n">
        <v>0.3333333333333333</v>
      </c>
      <c r="F4" s="49">
        <f>C$2*E4</f>
        <v/>
      </c>
      <c r="G4" s="49">
        <f>D$2*E4</f>
        <v/>
      </c>
      <c r="H4" s="49">
        <f>SUMIF(MIN!L:L,"Eduardo",MIN!I:I)+SUMIF(MIN!L:L,"Eduardo",MIN!K:K)</f>
        <v/>
      </c>
      <c r="I4" s="50">
        <f>IF(F4&gt;0,H4/F4,0)</f>
        <v/>
      </c>
      <c r="J4" s="50">
        <f>IF(G4&gt;0,H4/G4,0)</f>
        <v/>
      </c>
    </row>
    <row r="5">
      <c r="A5" s="55" t="n"/>
      <c r="B5" s="56" t="inlineStr">
        <is>
          <t>TOTAL</t>
        </is>
      </c>
      <c r="C5" s="57" t="n"/>
      <c r="D5" s="57" t="n"/>
      <c r="E5" s="58">
        <f>SUM(E2:E4)</f>
        <v/>
      </c>
      <c r="F5" s="59">
        <f>SUM(F2:F4)</f>
        <v/>
      </c>
      <c r="G5" s="59">
        <f>SUM(G2:G4)</f>
        <v/>
      </c>
      <c r="H5" s="59">
        <f>SUM(H2:H4)</f>
        <v/>
      </c>
      <c r="I5" s="60">
        <f>IF(F5&gt;0,H5/F5,0)</f>
        <v/>
      </c>
      <c r="J5" s="60">
        <f>IF(G5&gt;0,H5/G5,0)</f>
        <v/>
      </c>
    </row>
    <row r="6"/>
    <row r="7"/>
    <row r="8">
      <c r="A8" s="43" t="inlineStr">
        <is>
          <t>IND</t>
        </is>
      </c>
      <c r="B8" s="44" t="inlineStr">
        <is>
          <t>NOMBRE</t>
        </is>
      </c>
      <c r="C8" s="44" t="inlineStr">
        <is>
          <t>MAX</t>
        </is>
      </c>
      <c r="D8" s="44" t="inlineStr">
        <is>
          <t>MIN</t>
        </is>
      </c>
      <c r="E8" s="44" t="inlineStr">
        <is>
          <t>PRO. TRA.</t>
        </is>
      </c>
      <c r="F8" s="44" t="inlineStr">
        <is>
          <t>Obj. Max</t>
        </is>
      </c>
      <c r="G8" s="44" t="inlineStr">
        <is>
          <t>Obj. Min</t>
        </is>
      </c>
      <c r="H8" s="44" t="inlineStr">
        <is>
          <t>Conseguido</t>
        </is>
      </c>
      <c r="I8" s="44" t="inlineStr">
        <is>
          <t>% Max</t>
        </is>
      </c>
      <c r="J8" s="44" t="inlineStr">
        <is>
          <t>% Min</t>
        </is>
      </c>
    </row>
    <row r="9">
      <c r="A9" s="45" t="n"/>
      <c r="B9" s="46" t="inlineStr">
        <is>
          <t>Ana Claudia Carbonel Gomero</t>
        </is>
      </c>
      <c r="C9" s="47">
        <f>Objetivos!B4</f>
        <v/>
      </c>
      <c r="D9" s="47">
        <f>Objetivos!C4</f>
        <v/>
      </c>
      <c r="E9" s="48" t="n">
        <v>0.3333333333333333</v>
      </c>
      <c r="F9" s="49">
        <f>C$9*E9</f>
        <v/>
      </c>
      <c r="G9" s="49">
        <f>D$9*E9</f>
        <v/>
      </c>
      <c r="H9" s="49">
        <f>SUMIF(IND!L:L,"Claudia",IND!I:I)+SUMIF(IND!L:L,"Claudia",IND!K:K)</f>
        <v/>
      </c>
      <c r="I9" s="50">
        <f>IF(F9&gt;0,H9/F9,0)</f>
        <v/>
      </c>
      <c r="J9" s="50">
        <f>IF(G9&gt;0,H9/G9,0)</f>
        <v/>
      </c>
    </row>
    <row r="10">
      <c r="A10" s="45" t="n"/>
      <c r="B10" s="51" t="inlineStr">
        <is>
          <t>Luisa Oncebay Delgado</t>
        </is>
      </c>
      <c r="C10" s="45" t="n"/>
      <c r="D10" s="45" t="n"/>
      <c r="E10" s="52" t="n">
        <v>0.3333333333333333</v>
      </c>
      <c r="F10" s="53">
        <f>C$9*E10</f>
        <v/>
      </c>
      <c r="G10" s="53">
        <f>D$9*E10</f>
        <v/>
      </c>
      <c r="H10" s="53">
        <f>SUMIF(IND!L:L,"Luisa",IND!I:I)+SUMIF(IND!L:L,"Luisa",IND!K:K)</f>
        <v/>
      </c>
      <c r="I10" s="54">
        <f>IF(F10&gt;0,H10/F10,0)</f>
        <v/>
      </c>
      <c r="J10" s="54">
        <f>IF(G10&gt;0,H10/G10,0)</f>
        <v/>
      </c>
    </row>
    <row r="11">
      <c r="A11" s="45" t="n"/>
      <c r="B11" s="46" t="inlineStr">
        <is>
          <t>Pedro Eduardo Bonilla Cornejo</t>
        </is>
      </c>
      <c r="C11" s="55" t="n"/>
      <c r="D11" s="55" t="n"/>
      <c r="E11" s="48" t="n">
        <v>0.3333333333333333</v>
      </c>
      <c r="F11" s="49">
        <f>C$9*E11</f>
        <v/>
      </c>
      <c r="G11" s="49">
        <f>D$9*E11</f>
        <v/>
      </c>
      <c r="H11" s="49">
        <f>SUMIF(IND!L:L,"Eduardo",IND!I:I)+SUMIF(IND!L:L,"Eduardo",IND!K:K)</f>
        <v/>
      </c>
      <c r="I11" s="50">
        <f>IF(F11&gt;0,H11/F11,0)</f>
        <v/>
      </c>
      <c r="J11" s="50">
        <f>IF(G11&gt;0,H11/G11,0)</f>
        <v/>
      </c>
    </row>
    <row r="12">
      <c r="A12" s="55" t="n"/>
      <c r="B12" s="56" t="inlineStr">
        <is>
          <t>TOTAL</t>
        </is>
      </c>
      <c r="C12" s="57" t="n"/>
      <c r="D12" s="57" t="n"/>
      <c r="E12" s="58">
        <f>SUM(E9:E11)</f>
        <v/>
      </c>
      <c r="F12" s="59">
        <f>SUM(F9:F11)</f>
        <v/>
      </c>
      <c r="G12" s="59">
        <f>SUM(G9:G11)</f>
        <v/>
      </c>
      <c r="H12" s="59">
        <f>SUM(H9:H11)</f>
        <v/>
      </c>
      <c r="I12" s="60">
        <f>IF(F12&gt;0,H12/F12,0)</f>
        <v/>
      </c>
      <c r="J12" s="60">
        <f>IF(G12&gt;0,H12/G12,0)</f>
        <v/>
      </c>
    </row>
    <row r="13"/>
    <row r="14"/>
    <row r="15">
      <c r="A15" s="43" t="inlineStr">
        <is>
          <t>OIL</t>
        </is>
      </c>
      <c r="B15" s="44" t="inlineStr">
        <is>
          <t>NOMBRE</t>
        </is>
      </c>
      <c r="C15" s="44" t="inlineStr">
        <is>
          <t>MAX</t>
        </is>
      </c>
      <c r="D15" s="44" t="inlineStr">
        <is>
          <t>MIN</t>
        </is>
      </c>
      <c r="E15" s="44" t="inlineStr">
        <is>
          <t>PRO. TRA.</t>
        </is>
      </c>
      <c r="F15" s="44" t="inlineStr">
        <is>
          <t>Obj. Max</t>
        </is>
      </c>
      <c r="G15" s="44" t="inlineStr">
        <is>
          <t>Obj. Min</t>
        </is>
      </c>
      <c r="H15" s="44" t="inlineStr">
        <is>
          <t>Conseguido</t>
        </is>
      </c>
      <c r="I15" s="44" t="inlineStr">
        <is>
          <t>% Max</t>
        </is>
      </c>
      <c r="J15" s="44" t="inlineStr">
        <is>
          <t>% Min</t>
        </is>
      </c>
    </row>
    <row r="16">
      <c r="A16" s="45" t="n"/>
      <c r="B16" s="46" t="inlineStr">
        <is>
          <t>Ana Claudia Carbonel Gomero</t>
        </is>
      </c>
      <c r="C16" s="47">
        <f>Objetivos!B5</f>
        <v/>
      </c>
      <c r="D16" s="47">
        <f>Objetivos!C5</f>
        <v/>
      </c>
      <c r="E16" s="48" t="n">
        <v>0.3333333333333333</v>
      </c>
      <c r="F16" s="49">
        <f>C$16*E16</f>
        <v/>
      </c>
      <c r="G16" s="49">
        <f>D$16*E16</f>
        <v/>
      </c>
      <c r="H16" s="49">
        <f>SUMIF(OIL!L:L,"Claudia",OIL!I:I)+SUMIF(OIL!L:L,"Claudia",OIL!K:K)</f>
        <v/>
      </c>
      <c r="I16" s="50">
        <f>IF(F16&gt;0,H16/F16,0)</f>
        <v/>
      </c>
      <c r="J16" s="50">
        <f>IF(G16&gt;0,H16/G16,0)</f>
        <v/>
      </c>
    </row>
    <row r="17">
      <c r="A17" s="45" t="n"/>
      <c r="B17" s="51" t="inlineStr">
        <is>
          <t>Luisa Oncebay Delgado</t>
        </is>
      </c>
      <c r="C17" s="45" t="n"/>
      <c r="D17" s="45" t="n"/>
      <c r="E17" s="52" t="n">
        <v>0.3333333333333333</v>
      </c>
      <c r="F17" s="53">
        <f>C$16*E17</f>
        <v/>
      </c>
      <c r="G17" s="53">
        <f>D$16*E17</f>
        <v/>
      </c>
      <c r="H17" s="53">
        <f>SUMIF(OIL!L:L,"Luisa",OIL!I:I)+SUMIF(OIL!L:L,"Luisa",OIL!K:K)</f>
        <v/>
      </c>
      <c r="I17" s="54">
        <f>IF(F17&gt;0,H17/F17,0)</f>
        <v/>
      </c>
      <c r="J17" s="54">
        <f>IF(G17&gt;0,H17/G17,0)</f>
        <v/>
      </c>
    </row>
    <row r="18">
      <c r="A18" s="45" t="n"/>
      <c r="B18" s="46" t="inlineStr">
        <is>
          <t>Pedro Eduardo Bonilla Cornejo</t>
        </is>
      </c>
      <c r="C18" s="55" t="n"/>
      <c r="D18" s="55" t="n"/>
      <c r="E18" s="48" t="n">
        <v>0.3333333333333333</v>
      </c>
      <c r="F18" s="49">
        <f>C$16*E18</f>
        <v/>
      </c>
      <c r="G18" s="49">
        <f>D$16*E18</f>
        <v/>
      </c>
      <c r="H18" s="49">
        <f>SUMIF(OIL!L:L,"Eduardo",OIL!I:I)+SUMIF(OIL!L:L,"Eduardo",OIL!K:K)</f>
        <v/>
      </c>
      <c r="I18" s="50">
        <f>IF(F18&gt;0,H18/F18,0)</f>
        <v/>
      </c>
      <c r="J18" s="50">
        <f>IF(G18&gt;0,H18/G18,0)</f>
        <v/>
      </c>
    </row>
    <row r="19">
      <c r="A19" s="55" t="n"/>
      <c r="B19" s="56" t="inlineStr">
        <is>
          <t>TOTAL</t>
        </is>
      </c>
      <c r="C19" s="57" t="n"/>
      <c r="D19" s="57" t="n"/>
      <c r="E19" s="58">
        <f>SUM(E16:E18)</f>
        <v/>
      </c>
      <c r="F19" s="59">
        <f>SUM(F16:F18)</f>
        <v/>
      </c>
      <c r="G19" s="59">
        <f>SUM(G16:G18)</f>
        <v/>
      </c>
      <c r="H19" s="59">
        <f>SUM(H16:H18)</f>
        <v/>
      </c>
      <c r="I19" s="60">
        <f>IF(F19&gt;0,H19/F19,0)</f>
        <v/>
      </c>
      <c r="J19" s="60">
        <f>IF(G19&gt;0,H19/G19,0)</f>
        <v/>
      </c>
    </row>
    <row r="20"/>
    <row r="21"/>
    <row r="22">
      <c r="A22" s="43" t="inlineStr">
        <is>
          <t>SFY</t>
        </is>
      </c>
      <c r="B22" s="44" t="inlineStr">
        <is>
          <t>NOMBRE</t>
        </is>
      </c>
      <c r="C22" s="44" t="inlineStr">
        <is>
          <t>MAX</t>
        </is>
      </c>
      <c r="D22" s="44" t="inlineStr">
        <is>
          <t>MIN</t>
        </is>
      </c>
      <c r="E22" s="44" t="inlineStr">
        <is>
          <t>PRO. TRA.</t>
        </is>
      </c>
      <c r="F22" s="44" t="inlineStr">
        <is>
          <t>Obj. Max</t>
        </is>
      </c>
      <c r="G22" s="44" t="inlineStr">
        <is>
          <t>Obj. Min</t>
        </is>
      </c>
      <c r="H22" s="44" t="inlineStr">
        <is>
          <t>Conseguido</t>
        </is>
      </c>
      <c r="I22" s="44" t="inlineStr">
        <is>
          <t>% Max</t>
        </is>
      </c>
      <c r="J22" s="44" t="inlineStr">
        <is>
          <t>% Min</t>
        </is>
      </c>
    </row>
    <row r="23">
      <c r="A23" s="45" t="n"/>
      <c r="B23" s="46" t="inlineStr">
        <is>
          <t>Ana Claudia Carbonel Gomero</t>
        </is>
      </c>
      <c r="C23" s="47">
        <f>Objetivos!B6</f>
        <v/>
      </c>
      <c r="D23" s="47">
        <f>Objetivos!C6</f>
        <v/>
      </c>
      <c r="E23" s="48" t="n">
        <v>0.3333333333333333</v>
      </c>
      <c r="F23" s="49">
        <f>C$23*E23</f>
        <v/>
      </c>
      <c r="G23" s="49">
        <f>D$23*E23</f>
        <v/>
      </c>
      <c r="H23" s="49">
        <f>SUMIF(SFY!L:L,"Claudia",SFY!I:I)+SUMIF(SFY!L:L,"Claudia",SFY!K:K)</f>
        <v/>
      </c>
      <c r="I23" s="50">
        <f>IF(F23&gt;0,H23/F23,0)</f>
        <v/>
      </c>
      <c r="J23" s="50">
        <f>IF(G23&gt;0,H23/G23,0)</f>
        <v/>
      </c>
    </row>
    <row r="24">
      <c r="A24" s="45" t="n"/>
      <c r="B24" s="51" t="inlineStr">
        <is>
          <t>Luisa Oncebay Delgado</t>
        </is>
      </c>
      <c r="C24" s="45" t="n"/>
      <c r="D24" s="45" t="n"/>
      <c r="E24" s="52" t="n">
        <v>0.3333333333333333</v>
      </c>
      <c r="F24" s="53">
        <f>C$23*E24</f>
        <v/>
      </c>
      <c r="G24" s="53">
        <f>D$23*E24</f>
        <v/>
      </c>
      <c r="H24" s="53">
        <f>SUMIF(SFY!L:L,"Luisa",SFY!I:I)+SUMIF(SFY!L:L,"Luisa",SFY!K:K)</f>
        <v/>
      </c>
      <c r="I24" s="54">
        <f>IF(F24&gt;0,H24/F24,0)</f>
        <v/>
      </c>
      <c r="J24" s="54">
        <f>IF(G24&gt;0,H24/G24,0)</f>
        <v/>
      </c>
    </row>
    <row r="25">
      <c r="A25" s="45" t="n"/>
      <c r="B25" s="46" t="inlineStr">
        <is>
          <t>Pedro Eduardo Bonilla Cornejo</t>
        </is>
      </c>
      <c r="C25" s="55" t="n"/>
      <c r="D25" s="55" t="n"/>
      <c r="E25" s="48" t="n">
        <v>0.3333333333333333</v>
      </c>
      <c r="F25" s="49">
        <f>C$23*E25</f>
        <v/>
      </c>
      <c r="G25" s="49">
        <f>D$23*E25</f>
        <v/>
      </c>
      <c r="H25" s="49">
        <f>SUMIF(SFY!L:L,"Eduardo",SFY!I:I)+SUMIF(SFY!L:L,"Eduardo",SFY!K:K)</f>
        <v/>
      </c>
      <c r="I25" s="50">
        <f>IF(F25&gt;0,H25/F25,0)</f>
        <v/>
      </c>
      <c r="J25" s="50">
        <f>IF(G25&gt;0,H25/G25,0)</f>
        <v/>
      </c>
    </row>
    <row r="26">
      <c r="A26" s="55" t="n"/>
      <c r="B26" s="56" t="inlineStr">
        <is>
          <t>TOTAL</t>
        </is>
      </c>
      <c r="C26" s="57" t="n"/>
      <c r="D26" s="57" t="n"/>
      <c r="E26" s="58">
        <f>SUM(E23:E25)</f>
        <v/>
      </c>
      <c r="F26" s="59">
        <f>SUM(F23:F25)</f>
        <v/>
      </c>
      <c r="G26" s="59">
        <f>SUM(G23:G25)</f>
        <v/>
      </c>
      <c r="H26" s="59">
        <f>SUM(H23:H25)</f>
        <v/>
      </c>
      <c r="I26" s="60">
        <f>IF(F26&gt;0,H26/F26,0)</f>
        <v/>
      </c>
      <c r="J26" s="60">
        <f>IF(G26&gt;0,H26/G26,0)</f>
        <v/>
      </c>
    </row>
    <row r="27"/>
    <row r="28"/>
    <row r="29">
      <c r="B29" s="61" t="inlineStr">
        <is>
          <t>Area</t>
        </is>
      </c>
      <c r="C29" s="62" t="inlineStr">
        <is>
          <t>Cuota Comercial</t>
        </is>
      </c>
      <c r="D29" s="62" t="inlineStr">
        <is>
          <t>Conseguido</t>
        </is>
      </c>
      <c r="E29" s="62" t="inlineStr">
        <is>
          <t>%</t>
        </is>
      </c>
    </row>
    <row r="30">
      <c r="B30" s="63" t="inlineStr">
        <is>
          <t>Minería</t>
        </is>
      </c>
      <c r="C30" s="64">
        <f>C2</f>
        <v/>
      </c>
      <c r="D30" s="64">
        <f>SUM(H2:H4)</f>
        <v/>
      </c>
      <c r="E30" s="65">
        <f>IF(C30&gt;0,D30/C30,0)</f>
        <v/>
      </c>
    </row>
    <row r="31">
      <c r="B31" s="63" t="inlineStr">
        <is>
          <t>Industria</t>
        </is>
      </c>
      <c r="C31" s="64">
        <f>C9</f>
        <v/>
      </c>
      <c r="D31" s="64">
        <f>SUM(H9:H11)</f>
        <v/>
      </c>
      <c r="E31" s="65">
        <f>IF(C31&gt;0,D31/C31,0)</f>
        <v/>
      </c>
    </row>
    <row r="32">
      <c r="B32" s="63" t="inlineStr">
        <is>
          <t>Petroquímica</t>
        </is>
      </c>
      <c r="C32" s="64">
        <f>C16</f>
        <v/>
      </c>
      <c r="D32" s="64">
        <f>SUM(H16:H18)</f>
        <v/>
      </c>
      <c r="E32" s="65">
        <f>IF(C32&gt;0,D32/C32,0)</f>
        <v/>
      </c>
    </row>
    <row r="33">
      <c r="B33" s="63" t="inlineStr">
        <is>
          <t>Safety</t>
        </is>
      </c>
      <c r="C33" s="64">
        <f>C23</f>
        <v/>
      </c>
      <c r="D33" s="64">
        <f>SUM(H23:H25)</f>
        <v/>
      </c>
      <c r="E33" s="65">
        <f>IF(C33&gt;0,D33/C33,0)</f>
        <v/>
      </c>
    </row>
    <row r="34">
      <c r="B34" s="66" t="inlineStr">
        <is>
          <t>Total</t>
        </is>
      </c>
      <c r="C34" s="67">
        <f>SUM(C30:C33)</f>
        <v/>
      </c>
      <c r="D34" s="67">
        <f>SUM(D30:D33)</f>
        <v/>
      </c>
      <c r="E34" s="68">
        <f>IF(C34&gt;0,D34/C34,0)</f>
        <v/>
      </c>
    </row>
    <row r="35"/>
    <row r="36"/>
    <row r="37">
      <c r="B37" s="63" t="inlineStr">
        <is>
          <t>Ana Claudia Carbonel Gomero</t>
        </is>
      </c>
      <c r="C37" s="64">
        <f>H2+H9+H16+H23</f>
        <v/>
      </c>
    </row>
    <row r="38">
      <c r="B38" s="63" t="inlineStr">
        <is>
          <t>Luisa Oncebay Delgado</t>
        </is>
      </c>
      <c r="C38" s="64">
        <f>H3+H10+H17+H24</f>
        <v/>
      </c>
    </row>
    <row r="39">
      <c r="B39" s="63" t="inlineStr">
        <is>
          <t>Pedro Eduardo Bonilla Cornejo</t>
        </is>
      </c>
      <c r="C39" s="64">
        <f>H4+H11+H18+H25</f>
        <v/>
      </c>
    </row>
    <row r="40">
      <c r="B40" s="66" t="inlineStr">
        <is>
          <t>Total</t>
        </is>
      </c>
      <c r="C40" s="67">
        <f>SUM(C37:C39)</f>
        <v/>
      </c>
    </row>
  </sheetData>
  <mergeCells count="12">
    <mergeCell ref="A22:A26"/>
    <mergeCell ref="D23:D25"/>
    <mergeCell ref="A15:A19"/>
    <mergeCell ref="C2:C4"/>
    <mergeCell ref="A8:A12"/>
    <mergeCell ref="C16:C18"/>
    <mergeCell ref="D16:D18"/>
    <mergeCell ref="C23:C25"/>
    <mergeCell ref="A1:A5"/>
    <mergeCell ref="D2:D4"/>
    <mergeCell ref="C9:C11"/>
    <mergeCell ref="D9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2026-08-07T16:26:14Z</dcterms:created>
  <dcterms:modified xmlns:dcterms="http://purl.org/dc/terms/" xmlns:xsi="http://www.w3.org/2001/XMLSchema-instance" xsi:type="dcterms:W3CDTF">2026-08-07T16:26:16Z</dcterms:modified>
</cp:coreProperties>
</file>