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5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6.xml" ContentType="application/vnd.openxmlformats-officedocument.drawing+xml"/>
  <Override PartName="/xl/charts/chart3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C-23031\PROYECTOS\SIGECOM_5\"/>
    </mc:Choice>
  </mc:AlternateContent>
  <bookViews>
    <workbookView xWindow="0" yWindow="0" windowWidth="20490" windowHeight="8235" activeTab="4"/>
  </bookViews>
  <sheets>
    <sheet name="MIN" sheetId="1" r:id="rId1"/>
    <sheet name="OIL" sheetId="2" r:id="rId2"/>
    <sheet name="IND" sheetId="3" r:id="rId3"/>
    <sheet name="SFY" sheetId="4" r:id="rId4"/>
    <sheet name="2012 - 2026" sheetId="5" r:id="rId5"/>
    <sheet name="Objetivos" sheetId="6" r:id="rId6"/>
    <sheet name="Objetivos Com." sheetId="7" r:id="rId7"/>
  </sheets>
  <definedNames>
    <definedName name="_xlnm._FilterDatabase" localSheetId="2" hidden="1">IND!$A$2:$L$15</definedName>
    <definedName name="_xlnm._FilterDatabase" localSheetId="0" hidden="1">MIN!$A$2:$L$33</definedName>
    <definedName name="_xlnm._FilterDatabase" localSheetId="1" hidden="1">OIL!$A$2:$L$12</definedName>
  </definedNames>
  <calcPr calcId="162913"/>
</workbook>
</file>

<file path=xl/calcChain.xml><?xml version="1.0" encoding="utf-8"?>
<calcChain xmlns="http://schemas.openxmlformats.org/spreadsheetml/2006/main">
  <c r="E26" i="7" l="1"/>
  <c r="H25" i="7"/>
  <c r="H24" i="7"/>
  <c r="D33" i="7" s="1"/>
  <c r="F24" i="7"/>
  <c r="I23" i="7"/>
  <c r="H23" i="7"/>
  <c r="H26" i="7" s="1"/>
  <c r="F23" i="7"/>
  <c r="D23" i="7"/>
  <c r="G24" i="7" s="1"/>
  <c r="J24" i="7" s="1"/>
  <c r="C23" i="7"/>
  <c r="C33" i="7" s="1"/>
  <c r="E33" i="7" s="1"/>
  <c r="E19" i="7"/>
  <c r="H18" i="7"/>
  <c r="H17" i="7"/>
  <c r="G17" i="7"/>
  <c r="J17" i="7" s="1"/>
  <c r="H16" i="7"/>
  <c r="D32" i="7" s="1"/>
  <c r="D16" i="7"/>
  <c r="G16" i="7" s="1"/>
  <c r="C16" i="7"/>
  <c r="F17" i="7" s="1"/>
  <c r="I17" i="7" s="1"/>
  <c r="E12" i="7"/>
  <c r="H11" i="7"/>
  <c r="J10" i="7"/>
  <c r="H10" i="7"/>
  <c r="G10" i="7"/>
  <c r="F10" i="7"/>
  <c r="I10" i="7" s="1"/>
  <c r="H9" i="7"/>
  <c r="C38" i="7" s="1"/>
  <c r="G9" i="7"/>
  <c r="J9" i="7" s="1"/>
  <c r="D9" i="7"/>
  <c r="G11" i="7" s="1"/>
  <c r="J11" i="7" s="1"/>
  <c r="C9" i="7"/>
  <c r="F9" i="7" s="1"/>
  <c r="E5" i="7"/>
  <c r="H4" i="7"/>
  <c r="C40" i="7" s="1"/>
  <c r="J3" i="7"/>
  <c r="I3" i="7"/>
  <c r="H3" i="7"/>
  <c r="C39" i="7" s="1"/>
  <c r="G3" i="7"/>
  <c r="F3" i="7"/>
  <c r="J2" i="7"/>
  <c r="H2" i="7"/>
  <c r="D30" i="7" s="1"/>
  <c r="G2" i="7"/>
  <c r="G5" i="7" s="1"/>
  <c r="F2" i="7"/>
  <c r="I2" i="7" s="1"/>
  <c r="D2" i="7"/>
  <c r="G4" i="7" s="1"/>
  <c r="J4" i="7" s="1"/>
  <c r="C2" i="7"/>
  <c r="C30" i="7" s="1"/>
  <c r="C7" i="6"/>
  <c r="B7" i="6"/>
  <c r="F6" i="6"/>
  <c r="E6" i="6"/>
  <c r="F5" i="6"/>
  <c r="E5" i="6"/>
  <c r="E7" i="6" s="1"/>
  <c r="F4" i="6"/>
  <c r="E4" i="6"/>
  <c r="F3" i="6"/>
  <c r="F7" i="6" s="1"/>
  <c r="E3" i="6"/>
  <c r="F158" i="5"/>
  <c r="E158" i="5"/>
  <c r="B158" i="5" s="1"/>
  <c r="D158" i="5"/>
  <c r="C158" i="5"/>
  <c r="F157" i="5"/>
  <c r="E157" i="5"/>
  <c r="D157" i="5"/>
  <c r="C157" i="5"/>
  <c r="B157" i="5"/>
  <c r="F156" i="5"/>
  <c r="E156" i="5"/>
  <c r="D156" i="5"/>
  <c r="C156" i="5"/>
  <c r="B156" i="5" s="1"/>
  <c r="F155" i="5"/>
  <c r="E155" i="5"/>
  <c r="D155" i="5"/>
  <c r="B155" i="5" s="1"/>
  <c r="C155" i="5"/>
  <c r="F154" i="5"/>
  <c r="E154" i="5"/>
  <c r="B154" i="5" s="1"/>
  <c r="D154" i="5"/>
  <c r="C154" i="5"/>
  <c r="F153" i="5"/>
  <c r="E153" i="5"/>
  <c r="D153" i="5"/>
  <c r="C153" i="5"/>
  <c r="B153" i="5"/>
  <c r="F152" i="5"/>
  <c r="E152" i="5"/>
  <c r="D152" i="5"/>
  <c r="C152" i="5"/>
  <c r="B152" i="5" s="1"/>
  <c r="F151" i="5"/>
  <c r="E151" i="5"/>
  <c r="D151" i="5"/>
  <c r="B151" i="5" s="1"/>
  <c r="C151" i="5"/>
  <c r="F150" i="5"/>
  <c r="E150" i="5"/>
  <c r="B150" i="5" s="1"/>
  <c r="D150" i="5"/>
  <c r="C150" i="5"/>
  <c r="F149" i="5"/>
  <c r="E149" i="5"/>
  <c r="D149" i="5"/>
  <c r="C149" i="5"/>
  <c r="B149" i="5"/>
  <c r="F148" i="5"/>
  <c r="E148" i="5"/>
  <c r="D148" i="5"/>
  <c r="C148" i="5"/>
  <c r="B148" i="5" s="1"/>
  <c r="F147" i="5"/>
  <c r="E147" i="5"/>
  <c r="D147" i="5"/>
  <c r="B147" i="5" s="1"/>
  <c r="C147" i="5"/>
  <c r="N132" i="5"/>
  <c r="N131" i="5"/>
  <c r="N130" i="5"/>
  <c r="N129" i="5"/>
  <c r="N128" i="5"/>
  <c r="N127" i="5"/>
  <c r="N126" i="5"/>
  <c r="N125" i="5"/>
  <c r="N124" i="5"/>
  <c r="N123" i="5"/>
  <c r="N122" i="5"/>
  <c r="N121" i="5"/>
  <c r="N120" i="5"/>
  <c r="N119" i="5"/>
  <c r="N118" i="5"/>
  <c r="N117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L17" i="5"/>
  <c r="B5" i="5"/>
  <c r="B3" i="5"/>
  <c r="N18" i="4"/>
  <c r="O15" i="4"/>
  <c r="O9" i="4"/>
  <c r="O8" i="4"/>
  <c r="O7" i="4"/>
  <c r="O17" i="4" s="1"/>
  <c r="D6" i="6" s="1"/>
  <c r="O6" i="4"/>
  <c r="O10" i="4" s="1"/>
  <c r="P3" i="4"/>
  <c r="C6" i="5" s="1"/>
  <c r="O3" i="4"/>
  <c r="B6" i="5" s="1"/>
  <c r="N23" i="3"/>
  <c r="O20" i="3"/>
  <c r="K16" i="3"/>
  <c r="J16" i="3"/>
  <c r="I16" i="3"/>
  <c r="H16" i="3"/>
  <c r="G16" i="3"/>
  <c r="O14" i="3"/>
  <c r="O22" i="3" s="1"/>
  <c r="D4" i="6" s="1"/>
  <c r="O13" i="3"/>
  <c r="O12" i="3"/>
  <c r="O11" i="3"/>
  <c r="O15" i="3" s="1"/>
  <c r="P8" i="3"/>
  <c r="C3" i="5" s="1"/>
  <c r="O8" i="3"/>
  <c r="P7" i="3"/>
  <c r="O7" i="3"/>
  <c r="P6" i="3"/>
  <c r="O6" i="3"/>
  <c r="P5" i="3"/>
  <c r="O5" i="3"/>
  <c r="P4" i="3"/>
  <c r="O4" i="3"/>
  <c r="P3" i="3"/>
  <c r="O3" i="3"/>
  <c r="N17" i="2"/>
  <c r="O13" i="2"/>
  <c r="K13" i="2"/>
  <c r="J13" i="2"/>
  <c r="I13" i="2"/>
  <c r="H13" i="2"/>
  <c r="G13" i="2"/>
  <c r="O12" i="2"/>
  <c r="O11" i="2"/>
  <c r="O16" i="2" s="1"/>
  <c r="D5" i="6" s="1"/>
  <c r="O10" i="2"/>
  <c r="O14" i="2" s="1"/>
  <c r="P7" i="2"/>
  <c r="C5" i="5" s="1"/>
  <c r="O7" i="2"/>
  <c r="P6" i="2"/>
  <c r="O6" i="2"/>
  <c r="P5" i="2"/>
  <c r="O5" i="2"/>
  <c r="P4" i="2"/>
  <c r="O4" i="2"/>
  <c r="P3" i="2"/>
  <c r="O3" i="2"/>
  <c r="K34" i="1"/>
  <c r="J34" i="1"/>
  <c r="I34" i="1"/>
  <c r="H34" i="1"/>
  <c r="G34" i="1"/>
  <c r="N22" i="1"/>
  <c r="O18" i="1"/>
  <c r="O17" i="1"/>
  <c r="O16" i="1"/>
  <c r="O21" i="1" s="1"/>
  <c r="D3" i="6" s="1"/>
  <c r="O15" i="1"/>
  <c r="O19" i="1" s="1"/>
  <c r="P12" i="1"/>
  <c r="C4" i="5" s="1"/>
  <c r="O12" i="1"/>
  <c r="B4" i="5" s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  <c r="G5" i="6" l="1"/>
  <c r="D17" i="6"/>
  <c r="E17" i="6" s="1"/>
  <c r="H5" i="6"/>
  <c r="B17" i="6"/>
  <c r="C17" i="6" s="1"/>
  <c r="J5" i="6"/>
  <c r="I5" i="6"/>
  <c r="C7" i="5"/>
  <c r="M17" i="5" s="1"/>
  <c r="J4" i="6"/>
  <c r="D16" i="6"/>
  <c r="E16" i="6" s="1"/>
  <c r="G4" i="6"/>
  <c r="B16" i="6"/>
  <c r="C16" i="6" s="1"/>
  <c r="I4" i="6"/>
  <c r="H4" i="6"/>
  <c r="B7" i="5"/>
  <c r="J17" i="5" s="1"/>
  <c r="E30" i="7"/>
  <c r="C41" i="7"/>
  <c r="G19" i="7"/>
  <c r="J19" i="7" s="1"/>
  <c r="J16" i="7"/>
  <c r="H6" i="6"/>
  <c r="D18" i="6"/>
  <c r="E18" i="6" s="1"/>
  <c r="I6" i="6"/>
  <c r="B18" i="6"/>
  <c r="C18" i="6" s="1"/>
  <c r="G6" i="6"/>
  <c r="J6" i="6"/>
  <c r="D15" i="6"/>
  <c r="E15" i="6" s="1"/>
  <c r="I3" i="6"/>
  <c r="G3" i="6"/>
  <c r="D7" i="6"/>
  <c r="J3" i="6"/>
  <c r="H3" i="6"/>
  <c r="B15" i="6"/>
  <c r="C15" i="6" s="1"/>
  <c r="I9" i="7"/>
  <c r="F5" i="7"/>
  <c r="I5" i="7" s="1"/>
  <c r="G12" i="7"/>
  <c r="J12" i="7" s="1"/>
  <c r="F18" i="7"/>
  <c r="I18" i="7" s="1"/>
  <c r="H19" i="7"/>
  <c r="G18" i="7"/>
  <c r="J18" i="7" s="1"/>
  <c r="I24" i="7"/>
  <c r="F4" i="7"/>
  <c r="I4" i="7" s="1"/>
  <c r="H5" i="7"/>
  <c r="J5" i="7" s="1"/>
  <c r="F16" i="7"/>
  <c r="G23" i="7"/>
  <c r="D31" i="7"/>
  <c r="D34" i="7" s="1"/>
  <c r="G25" i="7"/>
  <c r="J25" i="7" s="1"/>
  <c r="C32" i="7"/>
  <c r="E32" i="7" s="1"/>
  <c r="F11" i="7"/>
  <c r="I11" i="7" s="1"/>
  <c r="H12" i="7"/>
  <c r="C31" i="7"/>
  <c r="F25" i="7"/>
  <c r="I25" i="7" s="1"/>
  <c r="G26" i="7" l="1"/>
  <c r="J26" i="7" s="1"/>
  <c r="J23" i="7"/>
  <c r="F12" i="7"/>
  <c r="I12" i="7" s="1"/>
  <c r="E31" i="7"/>
  <c r="F26" i="7"/>
  <c r="I26" i="7" s="1"/>
  <c r="G7" i="6"/>
  <c r="K17" i="5"/>
  <c r="C41" i="6"/>
  <c r="D41" i="6" s="1"/>
  <c r="D19" i="6"/>
  <c r="E19" i="6" s="1"/>
  <c r="D10" i="6"/>
  <c r="H7" i="6"/>
  <c r="C40" i="6"/>
  <c r="D40" i="6" s="1"/>
  <c r="B19" i="6"/>
  <c r="C19" i="6" s="1"/>
  <c r="J7" i="6"/>
  <c r="M15" i="6"/>
  <c r="I7" i="6"/>
  <c r="I16" i="7"/>
  <c r="F19" i="7"/>
  <c r="I19" i="7" s="1"/>
  <c r="C34" i="7"/>
  <c r="E34" i="7" s="1"/>
  <c r="D9" i="6"/>
</calcChain>
</file>

<file path=xl/sharedStrings.xml><?xml version="1.0" encoding="utf-8"?>
<sst xmlns="http://schemas.openxmlformats.org/spreadsheetml/2006/main" count="587" uniqueCount="295">
  <si>
    <t>ORDENES DE COMPRA MINERÍA</t>
  </si>
  <si>
    <t>CÓDIGO</t>
  </si>
  <si>
    <t>CLIENTES</t>
  </si>
  <si>
    <t>Nº Orden</t>
  </si>
  <si>
    <t>PROYECTO</t>
  </si>
  <si>
    <t>FECHA O/C</t>
  </si>
  <si>
    <t>FECHA ENTREGA</t>
  </si>
  <si>
    <t>VALOR PRESUPUESTO $</t>
  </si>
  <si>
    <t>COSTO</t>
  </si>
  <si>
    <t>HH Propia</t>
  </si>
  <si>
    <t>IMPREVISTOS</t>
  </si>
  <si>
    <t>UTILIDAD</t>
  </si>
  <si>
    <t>Personal</t>
  </si>
  <si>
    <t>Empresa</t>
  </si>
  <si>
    <t>Monto O/C</t>
  </si>
  <si>
    <t>Cantidad</t>
  </si>
  <si>
    <t>222023A-ANGQ-P</t>
  </si>
  <si>
    <t>ANGLO AMERICAN QUELLAVECO S.A.</t>
  </si>
  <si>
    <t>2MAY3279-CON-0001_05</t>
  </si>
  <si>
    <t>2.MAY.3279 Mantenimiento de Redes de Comunicación Industrial, Componentes del Sistema de Control y Sistema de Monitoreo de Condición</t>
  </si>
  <si>
    <t>Eduardo</t>
  </si>
  <si>
    <t>262003A-PREP-S</t>
  </si>
  <si>
    <t>Precision Peru SA</t>
  </si>
  <si>
    <t>5000</t>
  </si>
  <si>
    <t>Servicio de técnicos perfil eléctrico.</t>
  </si>
  <si>
    <t>Compañía Minera Poderosa SA</t>
  </si>
  <si>
    <t>262010A-PREP-V</t>
  </si>
  <si>
    <t>5064</t>
  </si>
  <si>
    <t>Equipo de protección personal - adicional</t>
  </si>
  <si>
    <t>MARCOBRE S.A.C.</t>
  </si>
  <si>
    <t>262016B-SHA-V</t>
  </si>
  <si>
    <t>SHAHUINDO S.A.C.</t>
  </si>
  <si>
    <t>49857</t>
  </si>
  <si>
    <t>LUMINARIA MODELO SOLARIS  SOLICITUD 177391</t>
  </si>
  <si>
    <t>MINERA LAS BAMBAS S.A.</t>
  </si>
  <si>
    <t>262028A-MMG-V</t>
  </si>
  <si>
    <t>4400669247</t>
  </si>
  <si>
    <t>Solicitud de cotización S1045572</t>
  </si>
  <si>
    <t>MINERA YANACOCHA</t>
  </si>
  <si>
    <t>262022A-SPCC-V</t>
  </si>
  <si>
    <t>SOUTHERN PERU COPPER CORPORATION</t>
  </si>
  <si>
    <t>4100790414</t>
  </si>
  <si>
    <t>Licitación  3000545027 ST VARIOS ELÉCTRICOS</t>
  </si>
  <si>
    <t>262009B-SPCC-S</t>
  </si>
  <si>
    <t>4100791028</t>
  </si>
  <si>
    <t>Licitación  3000541921 CD_SERVICIO VARIADOR ROCKWELL_R</t>
  </si>
  <si>
    <t>Claudia</t>
  </si>
  <si>
    <t>262014A-SPCC-V</t>
  </si>
  <si>
    <t>4100792483</t>
  </si>
  <si>
    <t>LICENCIA WINCC SPCC</t>
  </si>
  <si>
    <t>262013A-MY-S</t>
  </si>
  <si>
    <t>3003201873</t>
  </si>
  <si>
    <t>PR 1006282742 - Migración lógica controladores PLC5/40 y SLC500 (Allen Bradley) Planta procesos</t>
  </si>
  <si>
    <t>Luisa</t>
  </si>
  <si>
    <t>YURA S.A.</t>
  </si>
  <si>
    <t>262015A-MY-S</t>
  </si>
  <si>
    <t>3003205374</t>
  </si>
  <si>
    <t>RFQ 1006293632 - MIGRACIÓN I/O PLC5 – YN BOOSTER KM45</t>
  </si>
  <si>
    <t>262037A-MMG-V</t>
  </si>
  <si>
    <t>4400672314</t>
  </si>
  <si>
    <t>RFQ 6000121001 Accesorios Dixon</t>
  </si>
  <si>
    <t>262046A-SHA-V</t>
  </si>
  <si>
    <t>50167</t>
  </si>
  <si>
    <t>LUMINARIA MODELO SOLARIS</t>
  </si>
  <si>
    <t>Concepto</t>
  </si>
  <si>
    <t>Monto</t>
  </si>
  <si>
    <t>262049A-MMG-V</t>
  </si>
  <si>
    <t>4400675551</t>
  </si>
  <si>
    <t>MMG_RFQ No. 6000121455 Módulos IO Allen Bradley</t>
  </si>
  <si>
    <t>Costo</t>
  </si>
  <si>
    <t>262062A-PREP-S</t>
  </si>
  <si>
    <t>5328</t>
  </si>
  <si>
    <t>TECNICOS ELÉCTRICOS - MINERA ANTAMINA - PDP ABRIL 2026</t>
  </si>
  <si>
    <t>262056B-SPCC-S</t>
  </si>
  <si>
    <t>4100801979</t>
  </si>
  <si>
    <t>Licitación  3000553413</t>
  </si>
  <si>
    <t>Imprevisto</t>
  </si>
  <si>
    <t>262041D-YURA-S</t>
  </si>
  <si>
    <t>4436612248</t>
  </si>
  <si>
    <t>CTZ TABLEROS DE CONTROL</t>
  </si>
  <si>
    <t>Utilidad</t>
  </si>
  <si>
    <t>262043D-MACO-S</t>
  </si>
  <si>
    <t>7700015783</t>
  </si>
  <si>
    <t>CONCURSO 40052964- Mantenimiento de tableros y gabinetes de campo de sistema de control (HDCS &amp; PLC)</t>
  </si>
  <si>
    <t>262069A-ANGQ-V</t>
  </si>
  <si>
    <t>4504223915</t>
  </si>
  <si>
    <t>RFQ 6100160735 - sp 14584177</t>
  </si>
  <si>
    <t>262089A-SHA-V</t>
  </si>
  <si>
    <t>51014</t>
  </si>
  <si>
    <t>KPI MIN</t>
  </si>
  <si>
    <t>262075A-MACO-S</t>
  </si>
  <si>
    <t>Pasajes Terrestre</t>
  </si>
  <si>
    <t>262064C-POD-S</t>
  </si>
  <si>
    <t>4200022691-4200022692-4200022693</t>
  </si>
  <si>
    <t>Remediación observaciones Auditoria PlantPAx</t>
  </si>
  <si>
    <t>262101A-PREP-S</t>
  </si>
  <si>
    <t>5540</t>
  </si>
  <si>
    <t>Servicio - TOQUEPALA</t>
  </si>
  <si>
    <t>262104A-PREP-S</t>
  </si>
  <si>
    <t>5605</t>
  </si>
  <si>
    <t>MANTENIMIENTO 2 VFD - CONCENTRADORA 1 (NV - 25425)</t>
  </si>
  <si>
    <t>262103A-MY-S</t>
  </si>
  <si>
    <t>3003254426</t>
  </si>
  <si>
    <t>Migración - YN Recirculación</t>
  </si>
  <si>
    <t>262083B-MMG-S</t>
  </si>
  <si>
    <t>4400688949</t>
  </si>
  <si>
    <t>PR_11684191_GABINETE GATEWAY 4.0</t>
  </si>
  <si>
    <t>262107A-SPCC-S</t>
  </si>
  <si>
    <t>4100776222</t>
  </si>
  <si>
    <t>Tendido de tuberías conduit para cable de red en celdas  Wemco y bombas Cleaner</t>
  </si>
  <si>
    <t>262109A-PREP-S</t>
  </si>
  <si>
    <t>5606</t>
  </si>
  <si>
    <t>TECNICO ELÉCTRICO - MINERA ANTAMINA - PDP JUNIO 2026</t>
  </si>
  <si>
    <t>252185H-YURA-S</t>
  </si>
  <si>
    <t>4436674328</t>
  </si>
  <si>
    <t>Suministro Backpanel TC-Chancadora Primaria</t>
  </si>
  <si>
    <t>262121A-SPCC-P</t>
  </si>
  <si>
    <t>4200009183, 4200009187, 4200009226, 4200009228, 4200009347, 4200009352 y 4200009353</t>
  </si>
  <si>
    <t>LICITACIÓN P2255-001/P2255-002 - SUMINISTRO DE SISTEMA DE CONTROL Y COMUNICACIONES</t>
  </si>
  <si>
    <t>262012B-SPCC-P</t>
  </si>
  <si>
    <t>4200003861</t>
  </si>
  <si>
    <t>Licitación  3000563783 - MIGRACION DE PANTALLAS CON DISEÑO DE MIMICOS UTILIZANDO LIBRERIA PLANTPAX</t>
  </si>
  <si>
    <t>262122A-MMG-V</t>
  </si>
  <si>
    <t>4400694917</t>
  </si>
  <si>
    <t>Módulos IO Allen Bradley</t>
  </si>
  <si>
    <t>TOTAL</t>
  </si>
  <si>
    <t>ORDENES DE COMPRA PETROQUÍMICA</t>
  </si>
  <si>
    <t>234061A-PTTL-P</t>
  </si>
  <si>
    <t>PETROTAL PERU S.R.L.</t>
  </si>
  <si>
    <t>315-2023-064-1</t>
  </si>
  <si>
    <t>Servicios de Soporte Técnico Especializado del  Sistema de Control, Automatización y Almacenamiento</t>
  </si>
  <si>
    <t>264004A-VALP-S</t>
  </si>
  <si>
    <t>Valero Peru S.A.C</t>
  </si>
  <si>
    <t>4506904067</t>
  </si>
  <si>
    <t>Actualización de Arquitectura de Red de Control y Memoria Descriptiva 2026</t>
  </si>
  <si>
    <t>SERTECPET</t>
  </si>
  <si>
    <t>264005A-TDP-S</t>
  </si>
  <si>
    <t>TERMINALES DEL PERÚ</t>
  </si>
  <si>
    <t>34921</t>
  </si>
  <si>
    <t>Programación y Visualización de señales de alarmas</t>
  </si>
  <si>
    <t>264002C-PTTL-P</t>
  </si>
  <si>
    <t>315-OC CNT-2023-064</t>
  </si>
  <si>
    <t>Adenda - 315-CNT-2023-064 - Servicio de control y automatización - Lote 95 - 1 año</t>
  </si>
  <si>
    <t>264010B-TDP-S</t>
  </si>
  <si>
    <t>35462</t>
  </si>
  <si>
    <t>Creación de nuevas operaciones en PLC</t>
  </si>
  <si>
    <t>264011A-VALP-S</t>
  </si>
  <si>
    <t>4506906067</t>
  </si>
  <si>
    <t>Actualización de planos  del TCOM 2 y TCOM 3.</t>
  </si>
  <si>
    <t>264017A-VALP-S</t>
  </si>
  <si>
    <t>4506976498</t>
  </si>
  <si>
    <t>INTEGRACIÓN TANQUE B2 - SCADA</t>
  </si>
  <si>
    <t>264018A-TDP-S</t>
  </si>
  <si>
    <t>35852</t>
  </si>
  <si>
    <t>Cambio de configuración de bombas de Diesel.</t>
  </si>
  <si>
    <t>costo</t>
  </si>
  <si>
    <t>264016B-SERTECPET-S</t>
  </si>
  <si>
    <t>POC0017247</t>
  </si>
  <si>
    <t>Servicio de programación del Sistema de BPCS y SSS L2 EXTENDIDO DEL CAMPO BRETAÑA NORTE - Primera etapa (1-5)</t>
  </si>
  <si>
    <t>264021A-VALP-S</t>
  </si>
  <si>
    <t>None</t>
  </si>
  <si>
    <t>Integración de PTARI al SCADA.</t>
  </si>
  <si>
    <t>KPI OIL</t>
  </si>
  <si>
    <t>ORDENES DE COMPRA INDUSTRIA</t>
  </si>
  <si>
    <t>261002A-RINTI-S</t>
  </si>
  <si>
    <t>RINTI S.A.</t>
  </si>
  <si>
    <t>278386940</t>
  </si>
  <si>
    <t>Temperatura silos 4000</t>
  </si>
  <si>
    <t>Casa Grande S.A.A.</t>
  </si>
  <si>
    <t>261007A-RINTI-V</t>
  </si>
  <si>
    <t>OPC2026 - 285410551</t>
  </si>
  <si>
    <t>Canfield Connector Reed switch</t>
  </si>
  <si>
    <t>MONDELEZ PERU S.A.</t>
  </si>
  <si>
    <t>251104B-TRUPAL-S</t>
  </si>
  <si>
    <t>TRUPAL S.A.</t>
  </si>
  <si>
    <t>4602052586</t>
  </si>
  <si>
    <t>Servicio de emergencia -  Drive PF trupal Trujillo</t>
  </si>
  <si>
    <t>Nestle</t>
  </si>
  <si>
    <t>261009A-NESTLE-S</t>
  </si>
  <si>
    <t>4580571581</t>
  </si>
  <si>
    <t>Modificación SCADA para visualización sensores de Gas</t>
  </si>
  <si>
    <t>261011A-NESTLE-S</t>
  </si>
  <si>
    <t>4580661549</t>
  </si>
  <si>
    <t>Revisión del PLC de los sensores de amoniaco</t>
  </si>
  <si>
    <t>261018A-MDZ-S</t>
  </si>
  <si>
    <t>7333061880</t>
  </si>
  <si>
    <t>CONFIGURACION DE RED INDUSTRIAL L5</t>
  </si>
  <si>
    <t>261021A-CSSAA-P</t>
  </si>
  <si>
    <t>4602099881</t>
  </si>
  <si>
    <t>Servicio de soporte por emergencia PF7000</t>
  </si>
  <si>
    <t>251121A-MDZ-V</t>
  </si>
  <si>
    <t>7333081135</t>
  </si>
  <si>
    <t>Suministro de licencias SQL</t>
  </si>
  <si>
    <t>261028B-MDZ-S</t>
  </si>
  <si>
    <t>7333101068</t>
  </si>
  <si>
    <t>Migración de Switches Strarix 5700 a Stratix 5200 - L5</t>
  </si>
  <si>
    <t>261019B-RINTI-S</t>
  </si>
  <si>
    <t>285411940</t>
  </si>
  <si>
    <t>INTEGRACIÓN Y CABLEADO DE VALVULA DE DISTRIBUIDOR DE MAÍZ (SILO 4000)</t>
  </si>
  <si>
    <t>261032A-NESTLE-S</t>
  </si>
  <si>
    <t>4581800203</t>
  </si>
  <si>
    <t>Parada de compresores Sala Vilter con sensor de amoniaco</t>
  </si>
  <si>
    <t>261037B-RINTI-S</t>
  </si>
  <si>
    <t>Actualización de Filosofía de Control de Multipartículas 2</t>
  </si>
  <si>
    <t>261025C-NESTLE-S</t>
  </si>
  <si>
    <t>4582046265</t>
  </si>
  <si>
    <t>PE_Automatización de cambio de agua de desmolde de bombones_RFP_052026.</t>
  </si>
  <si>
    <t>Por Facturar</t>
  </si>
  <si>
    <t>Facturado</t>
  </si>
  <si>
    <t>KPI IND</t>
  </si>
  <si>
    <t>ORDENES DE COMPRA SEGURIDAD DE MAQUINARIA</t>
  </si>
  <si>
    <t>KPI SFY</t>
  </si>
  <si>
    <t>Gerencia</t>
  </si>
  <si>
    <t>Monto OC</t>
  </si>
  <si>
    <t>Año</t>
  </si>
  <si>
    <t>Montos OC</t>
  </si>
  <si>
    <t>HH+Utilidad</t>
  </si>
  <si>
    <t>Objetivo Mínimo</t>
  </si>
  <si>
    <t>IND</t>
  </si>
  <si>
    <t>MIN</t>
  </si>
  <si>
    <t>OIL</t>
  </si>
  <si>
    <t>SFY</t>
  </si>
  <si>
    <t>Total</t>
  </si>
  <si>
    <t>INDUSTRIA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</si>
  <si>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</si>
  <si>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</si>
  <si>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</si>
  <si>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</si>
  <si>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</si>
  <si>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</si>
  <si>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</si>
  <si>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</si>
  <si>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</si>
  <si>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</si>
  <si>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</si>
  <si>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</si>
  <si>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MINERIA</t>
  </si>
  <si>
    <t>PETROQUIMICA</t>
  </si>
  <si>
    <t>SAFETY</t>
  </si>
  <si>
    <t>GENERAL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</si>
  <si>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</si>
  <si>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</si>
  <si>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</si>
  <si>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</si>
  <si>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</si>
  <si>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</si>
  <si>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</si>
  <si>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</si>
  <si>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</si>
  <si>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</si>
  <si>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</si>
  <si>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</si>
  <si>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</si>
  <si>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COMPARTIVA DE OBJETIVOS Y METAS</t>
  </si>
  <si>
    <t>ÁREA</t>
  </si>
  <si>
    <t>OBJETIVO ANUAL MÁXIMO</t>
  </si>
  <si>
    <t>OBJETIVO ANUAL MÍNIMO</t>
  </si>
  <si>
    <t>LOGRADO</t>
  </si>
  <si>
    <t>OBJETIVO MAX MENSUAL</t>
  </si>
  <si>
    <t>OBJETIVO MIN MENSUAL</t>
  </si>
  <si>
    <t>DIFERENCIA C/ MÍNIMO</t>
  </si>
  <si>
    <t>DIFERENCIA C/ MÁXIMO</t>
  </si>
  <si>
    <t>FALTANTE AL MÍNIMO</t>
  </si>
  <si>
    <t>FALTANTE AL MÁXIMO</t>
  </si>
  <si>
    <t>Logrado</t>
  </si>
  <si>
    <t>TOTALES</t>
  </si>
  <si>
    <t>Faltante al Mínimo</t>
  </si>
  <si>
    <t>Faltante al Máximo</t>
  </si>
  <si>
    <t>MÁXIMO</t>
  </si>
  <si>
    <t>MÍNIMO</t>
  </si>
  <si>
    <t>Avance</t>
  </si>
  <si>
    <t>Faltante</t>
  </si>
  <si>
    <t>V&amp;C</t>
  </si>
  <si>
    <t>Métrica</t>
  </si>
  <si>
    <t>Avance MIN</t>
  </si>
  <si>
    <t>Avance MAX</t>
  </si>
  <si>
    <t>NOMBRE</t>
  </si>
  <si>
    <t>MAX</t>
  </si>
  <si>
    <t>PRO. TRA.</t>
  </si>
  <si>
    <t>Obj. Max</t>
  </si>
  <si>
    <t>Obj. Min</t>
  </si>
  <si>
    <t>Conseguido</t>
  </si>
  <si>
    <t>% Max</t>
  </si>
  <si>
    <t>% Min</t>
  </si>
  <si>
    <t>Ana Claudia Carbonel Gomero</t>
  </si>
  <si>
    <t>Luisa Oncebay Delgado</t>
  </si>
  <si>
    <t>Pedro Eduardo Bonilla Cornejo</t>
  </si>
  <si>
    <t>Area</t>
  </si>
  <si>
    <t>Cuota Comercial</t>
  </si>
  <si>
    <t>%</t>
  </si>
  <si>
    <t>Minería</t>
  </si>
  <si>
    <t>Industria</t>
  </si>
  <si>
    <t>Petroquímica</t>
  </si>
  <si>
    <t>Safety</t>
  </si>
  <si>
    <t>Nombre 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</si>
</sst>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5" formatCode="dd\-mm\-yyyy"/>
    <numFmt numFmtId="166" formatCode="\$\ #,##0.00"/>
    <numFmt numFmtId="167" formatCode="dd\-mm\-yyyy\ hh:mm"/>
    <numFmt numFmtId="168" formatCode="0.0%"/>
  </numFmts>
  <fonts count="12" x14ac:knownFonts="1">
    <font>
      <sz val="11"/>
      <color theme="1"/>
      <name val="Calibri"/>
      <family val="2"/>
      <scheme val="minor"/>
    </font>
    <font>
      <b/>
      <sz val="14"/>
      <color rgb="FF1F4E78"/>
      <name val="Segoe UI"/>
    </font>
    <font>
      <b/>
      <sz val="10"/>
      <color rgb="FFFFFFFF"/>
      <name val="Segoe UI"/>
    </font>
    <font>
      <sz val="9"/>
      <color rgb="FF27272A"/>
      <name val="Segoe UI"/>
    </font>
    <font>
      <b/>
      <sz val="10"/>
      <color rgb="FF1E293B"/>
      <name val="Segoe UI"/>
    </font>
    <font>
      <sz val="9"/>
      <name val="Segoe UI"/>
    </font>
    <font>
      <b/>
      <sz val="9"/>
      <name val="Segoe UI"/>
    </font>
    <font>
      <b/>
      <sz val="9"/>
      <color rgb="FFFFFFFF"/>
      <name val="Segoe UI"/>
    </font>
    <font>
      <i/>
      <sz val="9"/>
      <name val="Segoe UI"/>
    </font>
    <font>
      <b/>
      <sz val="9"/>
      <color rgb="FF27272A"/>
      <name val="Segoe UI"/>
    </font>
    <font>
      <b/>
      <sz val="9"/>
      <color rgb="FF1E293B"/>
      <name val="Segoe UI"/>
    </font>
    <font>
      <b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237573"/>
        <bgColor rgb="FF237573"/>
      </patternFill>
    </fill>
    <fill>
      <patternFill patternType="solid">
        <fgColor rgb="FFF8FAFC"/>
        <bgColor rgb="FFF8FAFC"/>
      </patternFill>
    </fill>
    <fill>
      <patternFill patternType="solid">
        <fgColor rgb="FFF1F5F9"/>
        <bgColor rgb="FFF1F5F9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3" fillId="0" borderId="2" xfId="0" applyFont="1" applyBorder="1" applyAlignment="1">
      <alignment horizontal="left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166" fontId="3" fillId="0" borderId="2" xfId="0" applyNumberFormat="1" applyFont="1" applyBorder="1" applyAlignment="1">
      <alignment horizontal="right" vertical="center" wrapText="1"/>
    </xf>
    <xf numFmtId="0" fontId="5" fillId="0" borderId="5" xfId="0" applyFont="1" applyBorder="1" applyAlignment="1">
      <alignment horizontal="left" vertical="center" wrapText="1"/>
    </xf>
    <xf numFmtId="166" fontId="5" fillId="0" borderId="5" xfId="0" applyNumberFormat="1" applyFont="1" applyBorder="1" applyAlignment="1">
      <alignment horizontal="right" vertical="center" wrapText="1"/>
    </xf>
    <xf numFmtId="3" fontId="5" fillId="0" borderId="5" xfId="0" applyNumberFormat="1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166" fontId="3" fillId="3" borderId="2" xfId="0" applyNumberFormat="1" applyFont="1" applyFill="1" applyBorder="1" applyAlignment="1">
      <alignment horizontal="right" vertical="center" wrapText="1"/>
    </xf>
    <xf numFmtId="0" fontId="5" fillId="4" borderId="3" xfId="0" applyFont="1" applyFill="1" applyBorder="1" applyAlignment="1">
      <alignment horizontal="left" vertical="center" wrapText="1"/>
    </xf>
    <xf numFmtId="166" fontId="6" fillId="4" borderId="3" xfId="0" applyNumberFormat="1" applyFont="1" applyFill="1" applyBorder="1" applyAlignment="1">
      <alignment horizontal="right" vertical="center" wrapText="1"/>
    </xf>
    <xf numFmtId="3" fontId="6" fillId="4" borderId="3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6" fillId="0" borderId="5" xfId="0" applyFont="1" applyBorder="1" applyAlignment="1">
      <alignment horizontal="left" vertical="center" wrapText="1"/>
    </xf>
    <xf numFmtId="167" fontId="8" fillId="0" borderId="5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left" vertical="center" wrapText="1"/>
    </xf>
    <xf numFmtId="166" fontId="4" fillId="0" borderId="3" xfId="0" applyNumberFormat="1" applyFont="1" applyBorder="1" applyAlignment="1">
      <alignment horizontal="right" vertical="center" wrapText="1"/>
    </xf>
    <xf numFmtId="0" fontId="2" fillId="2" borderId="0" xfId="0" applyFont="1" applyFill="1" applyAlignment="1">
      <alignment horizontal="center"/>
    </xf>
    <xf numFmtId="0" fontId="5" fillId="0" borderId="5" xfId="0" applyFont="1" applyBorder="1" applyAlignment="1">
      <alignment horizontal="center"/>
    </xf>
    <xf numFmtId="166" fontId="5" fillId="0" borderId="5" xfId="0" applyNumberFormat="1" applyFont="1" applyBorder="1" applyAlignment="1">
      <alignment horizontal="right"/>
    </xf>
    <xf numFmtId="0" fontId="5" fillId="0" borderId="5" xfId="0" applyFont="1" applyBorder="1"/>
    <xf numFmtId="0" fontId="5" fillId="3" borderId="5" xfId="0" applyFont="1" applyFill="1" applyBorder="1" applyAlignment="1">
      <alignment horizontal="center"/>
    </xf>
    <xf numFmtId="166" fontId="5" fillId="3" borderId="5" xfId="0" applyNumberFormat="1" applyFont="1" applyFill="1" applyBorder="1" applyAlignment="1">
      <alignment horizontal="right"/>
    </xf>
    <xf numFmtId="0" fontId="5" fillId="3" borderId="5" xfId="0" applyFont="1" applyFill="1" applyBorder="1"/>
    <xf numFmtId="0" fontId="11" fillId="4" borderId="3" xfId="0" applyFont="1" applyFill="1" applyBorder="1" applyAlignment="1">
      <alignment horizontal="center"/>
    </xf>
    <xf numFmtId="166" fontId="11" fillId="4" borderId="3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166" fontId="3" fillId="3" borderId="2" xfId="0" applyNumberFormat="1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center" vertical="center" wrapText="1"/>
    </xf>
    <xf numFmtId="166" fontId="4" fillId="4" borderId="3" xfId="0" applyNumberFormat="1" applyFont="1" applyFill="1" applyBorder="1" applyAlignment="1">
      <alignment horizontal="right" vertical="center" wrapText="1"/>
    </xf>
    <xf numFmtId="0" fontId="7" fillId="2" borderId="7" xfId="0" applyFont="1" applyFill="1" applyBorder="1" applyAlignment="1">
      <alignment horizontal="center" vertical="center"/>
    </xf>
    <xf numFmtId="166" fontId="9" fillId="0" borderId="2" xfId="0" applyNumberFormat="1" applyFont="1" applyBorder="1" applyAlignment="1">
      <alignment horizontal="right" vertical="center"/>
    </xf>
    <xf numFmtId="0" fontId="10" fillId="3" borderId="2" xfId="0" applyFont="1" applyFill="1" applyBorder="1" applyAlignment="1">
      <alignment horizontal="center" vertical="center"/>
    </xf>
    <xf numFmtId="168" fontId="3" fillId="0" borderId="2" xfId="0" applyNumberFormat="1" applyFont="1" applyBorder="1" applyAlignment="1">
      <alignment horizontal="right" vertical="center"/>
    </xf>
    <xf numFmtId="168" fontId="3" fillId="3" borderId="2" xfId="0" applyNumberFormat="1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center" vertical="center"/>
    </xf>
    <xf numFmtId="168" fontId="4" fillId="4" borderId="3" xfId="0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center" vertical="center"/>
    </xf>
    <xf numFmtId="9" fontId="3" fillId="3" borderId="2" xfId="0" applyNumberFormat="1" applyFont="1" applyFill="1" applyBorder="1" applyAlignment="1">
      <alignment horizontal="right" vertical="center"/>
    </xf>
    <xf numFmtId="9" fontId="3" fillId="0" borderId="2" xfId="0" applyNumberFormat="1" applyFont="1" applyBorder="1" applyAlignment="1">
      <alignment horizontal="right" vertical="center"/>
    </xf>
    <xf numFmtId="0" fontId="7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2" fontId="5" fillId="0" borderId="2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right" vertical="center"/>
    </xf>
    <xf numFmtId="168" fontId="5" fillId="0" borderId="2" xfId="0" applyNumberFormat="1" applyFont="1" applyBorder="1" applyAlignment="1">
      <alignment horizontal="right" vertical="center"/>
    </xf>
    <xf numFmtId="0" fontId="5" fillId="3" borderId="2" xfId="0" applyFont="1" applyFill="1" applyBorder="1" applyAlignment="1">
      <alignment horizontal="left" vertical="center"/>
    </xf>
    <xf numFmtId="2" fontId="5" fillId="3" borderId="2" xfId="0" applyNumberFormat="1" applyFont="1" applyFill="1" applyBorder="1" applyAlignment="1">
      <alignment horizontal="center" vertical="center"/>
    </xf>
    <xf numFmtId="166" fontId="5" fillId="3" borderId="2" xfId="0" applyNumberFormat="1" applyFont="1" applyFill="1" applyBorder="1" applyAlignment="1">
      <alignment horizontal="right" vertical="center"/>
    </xf>
    <xf numFmtId="168" fontId="5" fillId="3" borderId="2" xfId="0" applyNumberFormat="1" applyFont="1" applyFill="1" applyBorder="1" applyAlignment="1">
      <alignment horizontal="right" vertical="center"/>
    </xf>
    <xf numFmtId="0" fontId="6" fillId="4" borderId="8" xfId="0" applyFont="1" applyFill="1" applyBorder="1" applyAlignment="1">
      <alignment horizontal="left"/>
    </xf>
    <xf numFmtId="0" fontId="6" fillId="4" borderId="8" xfId="0" applyFont="1" applyFill="1" applyBorder="1"/>
    <xf numFmtId="2" fontId="6" fillId="4" borderId="8" xfId="0" applyNumberFormat="1" applyFont="1" applyFill="1" applyBorder="1" applyAlignment="1">
      <alignment horizontal="center"/>
    </xf>
    <xf numFmtId="166" fontId="6" fillId="4" borderId="8" xfId="0" applyNumberFormat="1" applyFont="1" applyFill="1" applyBorder="1" applyAlignment="1">
      <alignment horizontal="right"/>
    </xf>
    <xf numFmtId="168" fontId="6" fillId="4" borderId="8" xfId="0" applyNumberFormat="1" applyFont="1" applyFill="1" applyBorder="1" applyAlignment="1">
      <alignment horizontal="right"/>
    </xf>
    <xf numFmtId="0" fontId="6" fillId="4" borderId="3" xfId="0" applyFont="1" applyFill="1" applyBorder="1" applyAlignment="1">
      <alignment horizontal="left" vertical="center"/>
    </xf>
    <xf numFmtId="166" fontId="6" fillId="4" borderId="3" xfId="0" applyNumberFormat="1" applyFont="1" applyFill="1" applyBorder="1" applyAlignment="1">
      <alignment horizontal="right" vertical="center"/>
    </xf>
    <xf numFmtId="168" fontId="6" fillId="4" borderId="3" xfId="0" applyNumberFormat="1" applyFont="1" applyFill="1" applyBorder="1" applyAlignment="1">
      <alignment horizontal="right" vertical="center"/>
    </xf>
    <xf numFmtId="0" fontId="4" fillId="0" borderId="3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11" fillId="0" borderId="0" xfId="0" applyFont="1"/>
    <xf numFmtId="0" fontId="2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7" fillId="2" borderId="2" xfId="0" applyFont="1" applyFill="1" applyBorder="1" applyAlignment="1">
      <alignment horizontal="center" vertical="center" textRotation="90"/>
    </xf>
    <xf numFmtId="0" fontId="0" fillId="0" borderId="9" xfId="0" applyBorder="1"/>
    <xf numFmtId="0" fontId="0" fillId="0" borderId="10" xfId="0" applyBorder="1"/>
    <xf numFmtId="166" fontId="5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color rgb="FFFFFFFF"/>
      </font>
      <fill>
        <patternFill patternType="solid">
          <fgColor rgb="FFFF0000"/>
          <bgColor rgb="FFFF0000"/>
        </patternFill>
      </fill>
      <border>
        <left style="thin">
          <color rgb="FFE2E8F0"/>
        </left>
        <right style="thin">
          <color rgb="FFE2E8F0"/>
        </right>
        <top style="thin">
          <color rgb="FF000000"/>
        </top>
        <bottom style="double">
          <color rgb="FF000000"/>
        </bottom>
      </border>
    </dxf>
    <dxf>
      <font>
        <b/>
        <color rgb="FFFFFFFF"/>
      </font>
      <fill>
        <patternFill patternType="solid">
          <fgColor rgb="FF0070C0"/>
          <bgColor rgb="FF0070C0"/>
        </patternFill>
      </fill>
      <border>
        <left style="thin">
          <color rgb="FFE2E8F0"/>
        </left>
        <right style="thin">
          <color rgb="FFE2E8F0"/>
        </right>
        <top style="thin">
          <color rgb="FF000000"/>
        </top>
        <bottom style="double">
          <color rgb="FF000000"/>
        </bottom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</border>
    </dxf>
    <dxf>
      <font>
        <b/>
        <color rgb="FFFFFFFF"/>
      </font>
      <fill>
        <patternFill patternType="solid">
          <fgColor rgb="FF0070C0"/>
          <bgColor rgb="FF0070C0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 sz="1200" b="1">
                <a:latin typeface="Calibri"/>
              </a:defRPr>
            </a:pPr>
            <a:r>
              <a:t>Montos de OC por Empresa - Minera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MIN!$O$2</c:f>
              <c:strCache>
                <c:ptCount val="1"/>
                <c:pt idx="0">
                  <c:v>Monto O/C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MIN!$N$3:$N$11</c:f>
              <c:strCache>
                <c:ptCount val="9"/>
                <c:pt idx="0">
                  <c:v>ANGLO AMERICAN QUELLAVECO S.A.</c:v>
                </c:pt>
                <c:pt idx="1">
                  <c:v>Compañía Minera Poderosa SA</c:v>
                </c:pt>
                <c:pt idx="2">
                  <c:v>MARCOBRE S.A.C.</c:v>
                </c:pt>
                <c:pt idx="3">
                  <c:v>MINERA LAS BAMBAS S.A.</c:v>
                </c:pt>
                <c:pt idx="4">
                  <c:v>MINERA YANACOCHA</c:v>
                </c:pt>
                <c:pt idx="5">
                  <c:v>Precision Peru SA</c:v>
                </c:pt>
                <c:pt idx="6">
                  <c:v>SHAHUINDO S.A.C.</c:v>
                </c:pt>
                <c:pt idx="7">
                  <c:v>SOUTHERN PERU COPPER CORPORATION</c:v>
                </c:pt>
                <c:pt idx="8">
                  <c:v>YURA S.A.</c:v>
                </c:pt>
              </c:strCache>
            </c:strRef>
          </c:cat>
          <c:val>
            <c:numRef>
              <c:f>MIN!$O$3:$O$11</c:f>
              <c:numCache>
                <c:formatCode>\$\ #,##0.00</c:formatCode>
                <c:ptCount val="9"/>
                <c:pt idx="0">
                  <c:v>523040.49000000005</c:v>
                </c:pt>
                <c:pt idx="1">
                  <c:v>18140</c:v>
                </c:pt>
                <c:pt idx="2">
                  <c:v>37528</c:v>
                </c:pt>
                <c:pt idx="3">
                  <c:v>7915.0400000000009</c:v>
                </c:pt>
                <c:pt idx="4">
                  <c:v>31598</c:v>
                </c:pt>
                <c:pt idx="5">
                  <c:v>18225.728095238097</c:v>
                </c:pt>
                <c:pt idx="6">
                  <c:v>74200</c:v>
                </c:pt>
                <c:pt idx="7">
                  <c:v>316454.67</c:v>
                </c:pt>
                <c:pt idx="8">
                  <c:v>116600.98999999999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E8-45FA-9384-1C280B119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"/>
        <c:axId val="100"/>
        <c:axId val="1000"/>
      </c:bar3D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\ #,##0.00" sourceLinked="1"/>
        <c:majorTickMark val="none"/>
        <c:minorTickMark val="none"/>
        <c:tickLblPos val="nextTo"/>
        <c:crossAx val="10"/>
        <c:crosses val="autoZero"/>
        <c:crossBetween val="between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200" b="1">
                <a:latin typeface="Calibri"/>
              </a:defRPr>
            </a:pPr>
            <a:r>
              <a:t>% Montos de OC por Cliente Sector Minería</a:t>
            </a:r>
          </a:p>
        </c:rich>
      </c:tx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MIN!$O$2</c:f>
              <c:strCache>
                <c:ptCount val="1"/>
                <c:pt idx="0">
                  <c:v>Monto O/C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MIN!$N$3:$N$11</c:f>
              <c:strCache>
                <c:ptCount val="9"/>
                <c:pt idx="0">
                  <c:v>ANGLO AMERICAN QUELLAVECO S.A.</c:v>
                </c:pt>
                <c:pt idx="1">
                  <c:v>Compañía Minera Poderosa SA</c:v>
                </c:pt>
                <c:pt idx="2">
                  <c:v>MARCOBRE S.A.C.</c:v>
                </c:pt>
                <c:pt idx="3">
                  <c:v>MINERA LAS BAMBAS S.A.</c:v>
                </c:pt>
                <c:pt idx="4">
                  <c:v>MINERA YANACOCHA</c:v>
                </c:pt>
                <c:pt idx="5">
                  <c:v>Precision Peru SA</c:v>
                </c:pt>
                <c:pt idx="6">
                  <c:v>SHAHUINDO S.A.C.</c:v>
                </c:pt>
                <c:pt idx="7">
                  <c:v>SOUTHERN PERU COPPER CORPORATION</c:v>
                </c:pt>
                <c:pt idx="8">
                  <c:v>YURA S.A.</c:v>
                </c:pt>
              </c:strCache>
            </c:strRef>
          </c:cat>
          <c:val>
            <c:numRef>
              <c:f>MIN!$O$3:$O$11</c:f>
              <c:numCache>
                <c:formatCode>\$\ #,##0.00</c:formatCode>
                <c:ptCount val="9"/>
                <c:pt idx="0">
                  <c:v>523040.49000000005</c:v>
                </c:pt>
                <c:pt idx="1">
                  <c:v>18140</c:v>
                </c:pt>
                <c:pt idx="2">
                  <c:v>37528</c:v>
                </c:pt>
                <c:pt idx="3">
                  <c:v>7915.0400000000009</c:v>
                </c:pt>
                <c:pt idx="4">
                  <c:v>31598</c:v>
                </c:pt>
                <c:pt idx="5">
                  <c:v>18225.728095238097</c:v>
                </c:pt>
                <c:pt idx="6">
                  <c:v>74200</c:v>
                </c:pt>
                <c:pt idx="7">
                  <c:v>316454.67</c:v>
                </c:pt>
                <c:pt idx="8">
                  <c:v>116600.98999999999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C-4569-B579-CBEF8070929F}"/>
            </c:ext>
          </c:extLst>
        </c:ser>
        <c:dLbls>
          <c:showLegendKey val="1"/>
          <c:showVal val="0"/>
          <c:showCatName val="1"/>
          <c:showSerName val="1"/>
          <c:showPercent val="1"/>
          <c:showBubbleSize val="1"/>
          <c:showLeaderLines val="1"/>
        </c:dLbls>
      </c:pie3D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200" b="1">
                <a:latin typeface="Calibri"/>
              </a:defRPr>
            </a:pPr>
            <a:r>
              <a:t>Distribución de Ordenes de compra Minería</a:t>
            </a:r>
          </a:p>
        </c:rich>
      </c:tx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MIN!$O$14</c:f>
              <c:strCache>
                <c:ptCount val="1"/>
                <c:pt idx="0">
                  <c:v>Monto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MIN!$N$15:$N$18</c:f>
              <c:strCache>
                <c:ptCount val="4"/>
                <c:pt idx="0">
                  <c:v>Costo</c:v>
                </c:pt>
                <c:pt idx="1">
                  <c:v>HH Propia</c:v>
                </c:pt>
                <c:pt idx="2">
                  <c:v>Imprevisto</c:v>
                </c:pt>
                <c:pt idx="3">
                  <c:v>Utilidad</c:v>
                </c:pt>
              </c:strCache>
            </c:strRef>
          </c:cat>
          <c:val>
            <c:numRef>
              <c:f>MIN!$O$15:$O$18</c:f>
              <c:numCache>
                <c:formatCode>\$\ #,##0.00</c:formatCode>
                <c:ptCount val="4"/>
                <c:pt idx="0">
                  <c:v>708305.67809523817</c:v>
                </c:pt>
                <c:pt idx="1">
                  <c:v>323331.05</c:v>
                </c:pt>
                <c:pt idx="2">
                  <c:v>0</c:v>
                </c:pt>
                <c:pt idx="3">
                  <c:v>112066.19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3-4181-A9CB-908DDBBB16BA}"/>
            </c:ext>
          </c:extLst>
        </c:ser>
        <c:dLbls>
          <c:showLegendKey val="1"/>
          <c:showVal val="1"/>
          <c:showCatName val="1"/>
          <c:showSerName val="1"/>
          <c:showPercent val="0"/>
          <c:showBubbleSize val="1"/>
          <c:showLeaderLines val="1"/>
        </c:dLbls>
      </c:pie3D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 sz="1200" b="1">
                <a:latin typeface="Calibri"/>
              </a:defRPr>
            </a:pPr>
            <a:r>
              <a:t>Montos de OC por Empresa - Petroquímica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OIL!$O$2</c:f>
              <c:strCache>
                <c:ptCount val="1"/>
                <c:pt idx="0">
                  <c:v>Monto O/C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OIL!$N$3:$N$6</c:f>
              <c:strCache>
                <c:ptCount val="4"/>
                <c:pt idx="0">
                  <c:v>PETROTAL PERU S.R.L.</c:v>
                </c:pt>
                <c:pt idx="1">
                  <c:v>SERTECPET</c:v>
                </c:pt>
                <c:pt idx="2">
                  <c:v>TERMINALES DEL PERÚ</c:v>
                </c:pt>
                <c:pt idx="3">
                  <c:v>Valero Peru S.A.C</c:v>
                </c:pt>
              </c:strCache>
            </c:strRef>
          </c:cat>
          <c:val>
            <c:numRef>
              <c:f>OIL!$O$3:$O$6</c:f>
              <c:numCache>
                <c:formatCode>\$\ #,##0.00</c:formatCode>
                <c:ptCount val="4"/>
                <c:pt idx="0">
                  <c:v>197050</c:v>
                </c:pt>
                <c:pt idx="1">
                  <c:v>21276.799999999999</c:v>
                </c:pt>
                <c:pt idx="2">
                  <c:v>6192</c:v>
                </c:pt>
                <c:pt idx="3">
                  <c:v>2631.5097675696088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B-473E-8463-028767014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"/>
        <c:axId val="100"/>
        <c:axId val="1000"/>
      </c:bar3D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\ #,##0.00" sourceLinked="1"/>
        <c:majorTickMark val="none"/>
        <c:minorTickMark val="none"/>
        <c:tickLblPos val="nextTo"/>
        <c:crossAx val="10"/>
        <c:crosses val="autoZero"/>
        <c:crossBetween val="between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200" b="1">
                <a:latin typeface="Calibri"/>
              </a:defRPr>
            </a:pPr>
            <a:r>
              <a:t>% Montos de OC por Cliente Sector Petroquímica</a:t>
            </a:r>
          </a:p>
        </c:rich>
      </c:tx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OIL!$O$2</c:f>
              <c:strCache>
                <c:ptCount val="1"/>
                <c:pt idx="0">
                  <c:v>Monto O/C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OIL!$N$3:$N$6</c:f>
              <c:strCache>
                <c:ptCount val="4"/>
                <c:pt idx="0">
                  <c:v>PETROTAL PERU S.R.L.</c:v>
                </c:pt>
                <c:pt idx="1">
                  <c:v>SERTECPET</c:v>
                </c:pt>
                <c:pt idx="2">
                  <c:v>TERMINALES DEL PERÚ</c:v>
                </c:pt>
                <c:pt idx="3">
                  <c:v>Valero Peru S.A.C</c:v>
                </c:pt>
              </c:strCache>
            </c:strRef>
          </c:cat>
          <c:val>
            <c:numRef>
              <c:f>OIL!$O$3:$O$6</c:f>
              <c:numCache>
                <c:formatCode>\$\ #,##0.00</c:formatCode>
                <c:ptCount val="4"/>
                <c:pt idx="0">
                  <c:v>197050</c:v>
                </c:pt>
                <c:pt idx="1">
                  <c:v>21276.799999999999</c:v>
                </c:pt>
                <c:pt idx="2">
                  <c:v>6192</c:v>
                </c:pt>
                <c:pt idx="3">
                  <c:v>2631.5097675696088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D-4BB0-912B-1944792630A8}"/>
            </c:ext>
          </c:extLst>
        </c:ser>
        <c:dLbls>
          <c:showLegendKey val="1"/>
          <c:showVal val="0"/>
          <c:showCatName val="1"/>
          <c:showSerName val="1"/>
          <c:showPercent val="1"/>
          <c:showBubbleSize val="1"/>
          <c:showLeaderLines val="1"/>
        </c:dLbls>
      </c:pie3D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200" b="1">
                <a:latin typeface="Calibri"/>
              </a:defRPr>
            </a:pPr>
            <a:r>
              <a:t>Distribución de Ordenes de compra Petroquímica</a:t>
            </a:r>
          </a:p>
        </c:rich>
      </c:tx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OIL!$O$9</c:f>
              <c:strCache>
                <c:ptCount val="1"/>
                <c:pt idx="0">
                  <c:v>Monto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OIL!$N$10:$N$13</c:f>
              <c:strCache>
                <c:ptCount val="4"/>
                <c:pt idx="0">
                  <c:v>costo</c:v>
                </c:pt>
                <c:pt idx="1">
                  <c:v>HH Propia</c:v>
                </c:pt>
                <c:pt idx="2">
                  <c:v>Imprevisto</c:v>
                </c:pt>
                <c:pt idx="3">
                  <c:v>Utilidad</c:v>
                </c:pt>
              </c:strCache>
            </c:strRef>
          </c:cat>
          <c:val>
            <c:numRef>
              <c:f>OIL!$O$10:$O$13</c:f>
              <c:numCache>
                <c:formatCode>\$\ #,##0.00</c:formatCode>
                <c:ptCount val="4"/>
                <c:pt idx="0">
                  <c:v>48380.777760954901</c:v>
                </c:pt>
                <c:pt idx="1">
                  <c:v>149826.62964488848</c:v>
                </c:pt>
                <c:pt idx="2">
                  <c:v>0</c:v>
                </c:pt>
                <c:pt idx="3">
                  <c:v>28942.902361726232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7-4749-A846-3D4170E65D32}"/>
            </c:ext>
          </c:extLst>
        </c:ser>
        <c:dLbls>
          <c:showLegendKey val="1"/>
          <c:showVal val="1"/>
          <c:showCatName val="1"/>
          <c:showSerName val="1"/>
          <c:showPercent val="0"/>
          <c:showBubbleSize val="1"/>
          <c:showLeaderLines val="1"/>
        </c:dLbls>
      </c:pie3D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 sz="1200" b="1">
                <a:latin typeface="Calibri"/>
              </a:defRPr>
            </a:pPr>
            <a:r>
              <a:t>Montos de OC por Empresa - Industria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IND!$O$2</c:f>
              <c:strCache>
                <c:ptCount val="1"/>
                <c:pt idx="0">
                  <c:v>Monto O/C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IND!$N$3:$N$7</c:f>
              <c:strCache>
                <c:ptCount val="5"/>
                <c:pt idx="0">
                  <c:v>Casa Grande S.A.A.</c:v>
                </c:pt>
                <c:pt idx="1">
                  <c:v>MONDELEZ PERU S.A.</c:v>
                </c:pt>
                <c:pt idx="2">
                  <c:v>Nestle</c:v>
                </c:pt>
                <c:pt idx="3">
                  <c:v>RINTI S.A.</c:v>
                </c:pt>
                <c:pt idx="4">
                  <c:v>TRUPAL S.A.</c:v>
                </c:pt>
              </c:strCache>
            </c:strRef>
          </c:cat>
          <c:val>
            <c:numRef>
              <c:f>IND!$O$3:$O$7</c:f>
              <c:numCache>
                <c:formatCode>\$\ #,##0.00</c:formatCode>
                <c:ptCount val="5"/>
                <c:pt idx="0">
                  <c:v>4616</c:v>
                </c:pt>
                <c:pt idx="1">
                  <c:v>8122.9243697478978</c:v>
                </c:pt>
                <c:pt idx="2">
                  <c:v>5595.8861502013733</c:v>
                </c:pt>
                <c:pt idx="3">
                  <c:v>9467.5</c:v>
                </c:pt>
                <c:pt idx="4">
                  <c:v>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44-4E9D-B4B1-28E998A39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"/>
        <c:axId val="100"/>
        <c:axId val="1000"/>
      </c:bar3D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\ #,##0.00" sourceLinked="1"/>
        <c:majorTickMark val="none"/>
        <c:minorTickMark val="none"/>
        <c:tickLblPos val="nextTo"/>
        <c:crossAx val="10"/>
        <c:crosses val="autoZero"/>
        <c:crossBetween val="between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200" b="1">
                <a:latin typeface="Calibri"/>
              </a:defRPr>
            </a:pPr>
            <a:r>
              <a:t>% Montos de OC por Cliente Sector Industria</a:t>
            </a:r>
          </a:p>
        </c:rich>
      </c:tx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IND!$O$2</c:f>
              <c:strCache>
                <c:ptCount val="1"/>
                <c:pt idx="0">
                  <c:v>Monto O/C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IND!$N$3:$N$7</c:f>
              <c:strCache>
                <c:ptCount val="5"/>
                <c:pt idx="0">
                  <c:v>Casa Grande S.A.A.</c:v>
                </c:pt>
                <c:pt idx="1">
                  <c:v>MONDELEZ PERU S.A.</c:v>
                </c:pt>
                <c:pt idx="2">
                  <c:v>Nestle</c:v>
                </c:pt>
                <c:pt idx="3">
                  <c:v>RINTI S.A.</c:v>
                </c:pt>
                <c:pt idx="4">
                  <c:v>TRUPAL S.A.</c:v>
                </c:pt>
              </c:strCache>
            </c:strRef>
          </c:cat>
          <c:val>
            <c:numRef>
              <c:f>IND!$O$3:$O$7</c:f>
              <c:numCache>
                <c:formatCode>\$\ #,##0.00</c:formatCode>
                <c:ptCount val="5"/>
                <c:pt idx="0">
                  <c:v>4616</c:v>
                </c:pt>
                <c:pt idx="1">
                  <c:v>8122.9243697478978</c:v>
                </c:pt>
                <c:pt idx="2">
                  <c:v>5595.8861502013733</c:v>
                </c:pt>
                <c:pt idx="3">
                  <c:v>9467.5</c:v>
                </c:pt>
                <c:pt idx="4">
                  <c:v>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0-4D21-A967-6A55AFE3CB18}"/>
            </c:ext>
          </c:extLst>
        </c:ser>
        <c:dLbls>
          <c:showLegendKey val="1"/>
          <c:showVal val="0"/>
          <c:showCatName val="1"/>
          <c:showSerName val="1"/>
          <c:showPercent val="1"/>
          <c:showBubbleSize val="1"/>
          <c:showLeaderLines val="1"/>
        </c:dLbls>
      </c:pie3D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200" b="1">
                <a:latin typeface="Calibri"/>
              </a:defRPr>
            </a:pPr>
            <a:r>
              <a:t>Distribución de Ordenes de compra Industria</a:t>
            </a:r>
          </a:p>
        </c:rich>
      </c:tx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IND!$O$10</c:f>
              <c:strCache>
                <c:ptCount val="1"/>
                <c:pt idx="0">
                  <c:v>Monto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IND!$N$11:$N$14</c:f>
              <c:strCache>
                <c:ptCount val="4"/>
                <c:pt idx="0">
                  <c:v>costo</c:v>
                </c:pt>
                <c:pt idx="1">
                  <c:v>HH Propia</c:v>
                </c:pt>
                <c:pt idx="2">
                  <c:v>Imprevisto</c:v>
                </c:pt>
                <c:pt idx="3">
                  <c:v>Utilidad</c:v>
                </c:pt>
              </c:strCache>
            </c:strRef>
          </c:cat>
          <c:val>
            <c:numRef>
              <c:f>IND!$O$11:$O$14</c:f>
              <c:numCache>
                <c:formatCode>\$\ #,##0.00</c:formatCode>
                <c:ptCount val="4"/>
                <c:pt idx="0">
                  <c:v>13698.111801218</c:v>
                </c:pt>
                <c:pt idx="1">
                  <c:v>11168.960647184249</c:v>
                </c:pt>
                <c:pt idx="2">
                  <c:v>0</c:v>
                </c:pt>
                <c:pt idx="3">
                  <c:v>3301.2380715470267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4-4366-8ACF-F1D971D415AC}"/>
            </c:ext>
          </c:extLst>
        </c:ser>
        <c:dLbls>
          <c:showLegendKey val="1"/>
          <c:showVal val="1"/>
          <c:showCatName val="1"/>
          <c:showSerName val="1"/>
          <c:showPercent val="0"/>
          <c:showBubbleSize val="1"/>
          <c:showLeaderLines val="1"/>
        </c:dLbls>
      </c:pie3D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200" b="1">
                <a:latin typeface="Calibri"/>
              </a:defRPr>
            </a:pPr>
            <a:r>
              <a:rPr lang="es-PE"/>
              <a:t>% OC Área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'2012 - 2026'!$B$2</c:f>
              <c:strCache>
                <c:ptCount val="1"/>
                <c:pt idx="0">
                  <c:v>Monto OC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F81B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D37-4E91-9CE6-C8DAF3229D5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D37-4E91-9CE6-C8DAF3229D5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D37-4E91-9CE6-C8DAF3229D5D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D37-4E91-9CE6-C8DAF3229D5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'2012 - 2026'!$A$3:$A$6</c:f>
              <c:strCache>
                <c:ptCount val="4"/>
                <c:pt idx="0">
                  <c:v>IND</c:v>
                </c:pt>
                <c:pt idx="1">
                  <c:v>MIN</c:v>
                </c:pt>
                <c:pt idx="2">
                  <c:v>OIL</c:v>
                </c:pt>
                <c:pt idx="3">
                  <c:v>SFY</c:v>
                </c:pt>
              </c:strCache>
            </c:strRef>
          </c:cat>
          <c:val>
            <c:numRef>
              <c:f>'2012 - 2026'!$B$3:$B$6</c:f>
              <c:numCache>
                <c:formatCode>\$\ #,##0.00</c:formatCode>
                <c:ptCount val="4"/>
                <c:pt idx="0">
                  <c:v>28168.310519949275</c:v>
                </c:pt>
                <c:pt idx="1">
                  <c:v>1143702.9180952383</c:v>
                </c:pt>
                <c:pt idx="2">
                  <c:v>227150.30976756962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D37-4E91-9CE6-C8DAF3229D5D}"/>
            </c:ext>
          </c:extLst>
        </c:ser>
        <c:dLbls>
          <c:showLegendKey val="1"/>
          <c:showVal val="0"/>
          <c:showCatName val="1"/>
          <c:showSerName val="1"/>
          <c:showPercent val="1"/>
          <c:showBubbleSize val="1"/>
          <c:showLeaderLines val="1"/>
        </c:dLbls>
      </c:pie3D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 sz="1200" b="1">
                <a:latin typeface="Calibri"/>
              </a:defRPr>
            </a:pPr>
            <a:r>
              <a:rPr lang="es-PE"/>
              <a:t>Evolución OC vs HH y Utilidad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'2012 - 2026'!$J$2</c:f>
              <c:strCache>
                <c:ptCount val="1"/>
                <c:pt idx="0">
                  <c:v>Montos OC</c:v>
                </c:pt>
              </c:strCache>
            </c:strRef>
          </c:tx>
          <c:spPr>
            <a:solidFill>
              <a:srgbClr val="8FAADC"/>
            </a:solidFill>
            <a:ln>
              <a:prstDash val="solid"/>
            </a:ln>
          </c:spPr>
          <c:invertIfNegative val="1"/>
          <c:cat>
            <c:numRef>
              <c:f>'2012 - 2026'!$I$3:$I$17</c:f>
              <c:numCache>
                <c:formatCode>General</c:formatCode>
                <c:ptCount val="1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  <c:pt idx="14">
                  <c:v>2026</c:v>
                </c:pt>
              </c:numCache>
            </c:numRef>
          </c:cat>
          <c:val>
            <c:numRef>
              <c:f>'2012 - 2026'!$J$3:$J$17</c:f>
              <c:numCache>
                <c:formatCode>\$\ #,##0.00</c:formatCode>
                <c:ptCount val="15"/>
                <c:pt idx="0">
                  <c:v>856894.56</c:v>
                </c:pt>
                <c:pt idx="1">
                  <c:v>1173006.51</c:v>
                </c:pt>
                <c:pt idx="2">
                  <c:v>1469563.62</c:v>
                </c:pt>
                <c:pt idx="3">
                  <c:v>1267166.6960788879</c:v>
                </c:pt>
                <c:pt idx="4">
                  <c:v>1080847.054045476</c:v>
                </c:pt>
                <c:pt idx="5">
                  <c:v>1415889.736370502</c:v>
                </c:pt>
                <c:pt idx="6">
                  <c:v>1690561.0310020749</c:v>
                </c:pt>
                <c:pt idx="7">
                  <c:v>2113662.1261475342</c:v>
                </c:pt>
                <c:pt idx="8">
                  <c:v>1428707.6283189689</c:v>
                </c:pt>
                <c:pt idx="9">
                  <c:v>1174629.0539013131</c:v>
                </c:pt>
                <c:pt idx="10">
                  <c:v>1568894.247265148</c:v>
                </c:pt>
                <c:pt idx="11">
                  <c:v>1601964.346871661</c:v>
                </c:pt>
                <c:pt idx="12">
                  <c:v>1502315.0120595009</c:v>
                </c:pt>
                <c:pt idx="13">
                  <c:v>1580195.6036236531</c:v>
                </c:pt>
                <c:pt idx="14">
                  <c:v>1399021.5383827572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3A2-4B15-8813-6503C5972EDC}"/>
            </c:ext>
          </c:extLst>
        </c:ser>
        <c:ser>
          <c:idx val="1"/>
          <c:order val="1"/>
          <c:tx>
            <c:strRef>
              <c:f>'2012 - 2026'!$K$2</c:f>
              <c:strCache>
                <c:ptCount val="1"/>
                <c:pt idx="0">
                  <c:v>HH+Utilidad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numRef>
              <c:f>'2012 - 2026'!$I$3:$I$17</c:f>
              <c:numCache>
                <c:formatCode>General</c:formatCode>
                <c:ptCount val="1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  <c:pt idx="14">
                  <c:v>2026</c:v>
                </c:pt>
              </c:numCache>
            </c:numRef>
          </c:cat>
          <c:val>
            <c:numRef>
              <c:f>'2012 - 2026'!$K$3:$K$17</c:f>
              <c:numCache>
                <c:formatCode>\$\ 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766989.82</c:v>
                </c:pt>
                <c:pt idx="3">
                  <c:v>530501.62738079415</c:v>
                </c:pt>
                <c:pt idx="4">
                  <c:v>507030.85316631407</c:v>
                </c:pt>
                <c:pt idx="5">
                  <c:v>473934.37879611831</c:v>
                </c:pt>
                <c:pt idx="6">
                  <c:v>674026.11355894641</c:v>
                </c:pt>
                <c:pt idx="7">
                  <c:v>590483.95069786382</c:v>
                </c:pt>
                <c:pt idx="8">
                  <c:v>712348.37944424758</c:v>
                </c:pt>
                <c:pt idx="9">
                  <c:v>361921.25285261299</c:v>
                </c:pt>
                <c:pt idx="10">
                  <c:v>573851.61096111836</c:v>
                </c:pt>
                <c:pt idx="11">
                  <c:v>855738.58666111925</c:v>
                </c:pt>
                <c:pt idx="12">
                  <c:v>827619.78659258678</c:v>
                </c:pt>
                <c:pt idx="13">
                  <c:v>734535.74502075417</c:v>
                </c:pt>
                <c:pt idx="14">
                  <c:v>628636.97072534601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3A2-4B15-8813-6503C5972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"/>
        <c:axId val="100"/>
        <c:axId val="1000"/>
      </c:bar3D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\ #,##0.00" sourceLinked="1"/>
        <c:majorTickMark val="none"/>
        <c:minorTickMark val="none"/>
        <c:tickLblPos val="nextTo"/>
        <c:crossAx val="10"/>
        <c:crosses val="autoZero"/>
        <c:crossBetween val="between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 sz="1200" b="1">
                <a:latin typeface="Calibri"/>
              </a:defRPr>
            </a:pPr>
            <a:r>
              <a:t>Evolución OC, Objetivos Minimos y HH+Utilidad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'2012 - 2026'!$J$2</c:f>
              <c:strCache>
                <c:ptCount val="1"/>
                <c:pt idx="0">
                  <c:v>Montos OC</c:v>
                </c:pt>
              </c:strCache>
            </c:strRef>
          </c:tx>
          <c:spPr>
            <a:ln>
              <a:solidFill>
                <a:srgbClr val="237573"/>
              </a:solidFill>
              <a:prstDash val="solid"/>
            </a:ln>
          </c:spPr>
          <c:marker>
            <c:symbol val="none"/>
          </c:marker>
          <c:cat>
            <c:numRef>
              <c:f>'2012 - 2026'!$I$3:$I$17</c:f>
              <c:numCache>
                <c:formatCode>General</c:formatCode>
                <c:ptCount val="1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  <c:pt idx="14">
                  <c:v>2026</c:v>
                </c:pt>
              </c:numCache>
            </c:numRef>
          </c:cat>
          <c:val>
            <c:numRef>
              <c:f>'2012 - 2026'!$J$3:$J$17</c:f>
              <c:numCache>
                <c:formatCode>\$\ #,##0.00</c:formatCode>
                <c:ptCount val="15"/>
                <c:pt idx="0">
                  <c:v>856894.56</c:v>
                </c:pt>
                <c:pt idx="1">
                  <c:v>1173006.51</c:v>
                </c:pt>
                <c:pt idx="2">
                  <c:v>1469563.62</c:v>
                </c:pt>
                <c:pt idx="3">
                  <c:v>1267166.6960788879</c:v>
                </c:pt>
                <c:pt idx="4">
                  <c:v>1080847.054045476</c:v>
                </c:pt>
                <c:pt idx="5">
                  <c:v>1415889.736370502</c:v>
                </c:pt>
                <c:pt idx="6">
                  <c:v>1690561.0310020749</c:v>
                </c:pt>
                <c:pt idx="7">
                  <c:v>2113662.1261475342</c:v>
                </c:pt>
                <c:pt idx="8">
                  <c:v>1428707.6283189689</c:v>
                </c:pt>
                <c:pt idx="9">
                  <c:v>1174629.0539013131</c:v>
                </c:pt>
                <c:pt idx="10">
                  <c:v>1568894.247265148</c:v>
                </c:pt>
                <c:pt idx="11">
                  <c:v>1601964.346871661</c:v>
                </c:pt>
                <c:pt idx="12">
                  <c:v>1502315.0120595009</c:v>
                </c:pt>
                <c:pt idx="13">
                  <c:v>1580195.6036236531</c:v>
                </c:pt>
                <c:pt idx="14">
                  <c:v>1399021.5383827572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910-4D85-9A93-49F6363A6A08}"/>
            </c:ext>
          </c:extLst>
        </c:ser>
        <c:ser>
          <c:idx val="1"/>
          <c:order val="1"/>
          <c:tx>
            <c:strRef>
              <c:f>'2012 - 2026'!$K$2</c:f>
              <c:strCache>
                <c:ptCount val="1"/>
                <c:pt idx="0">
                  <c:v>HH+Utilidad</c:v>
                </c:pt>
              </c:strCache>
            </c:strRef>
          </c:tx>
          <c:spPr>
            <a:ln>
              <a:solidFill>
                <a:srgbClr val="8FAADC"/>
              </a:solidFill>
              <a:prstDash val="solid"/>
            </a:ln>
          </c:spPr>
          <c:marker>
            <c:symbol val="none"/>
          </c:marker>
          <c:cat>
            <c:numRef>
              <c:f>'2012 - 2026'!$I$3:$I$17</c:f>
              <c:numCache>
                <c:formatCode>General</c:formatCode>
                <c:ptCount val="1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  <c:pt idx="14">
                  <c:v>2026</c:v>
                </c:pt>
              </c:numCache>
            </c:numRef>
          </c:cat>
          <c:val>
            <c:numRef>
              <c:f>'2012 - 2026'!$K$3:$K$17</c:f>
              <c:numCache>
                <c:formatCode>\$\ 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766989.82</c:v>
                </c:pt>
                <c:pt idx="3">
                  <c:v>530501.62738079415</c:v>
                </c:pt>
                <c:pt idx="4">
                  <c:v>507030.85316631407</c:v>
                </c:pt>
                <c:pt idx="5">
                  <c:v>473934.37879611831</c:v>
                </c:pt>
                <c:pt idx="6">
                  <c:v>674026.11355894641</c:v>
                </c:pt>
                <c:pt idx="7">
                  <c:v>590483.95069786382</c:v>
                </c:pt>
                <c:pt idx="8">
                  <c:v>712348.37944424758</c:v>
                </c:pt>
                <c:pt idx="9">
                  <c:v>361921.25285261299</c:v>
                </c:pt>
                <c:pt idx="10">
                  <c:v>573851.61096111836</c:v>
                </c:pt>
                <c:pt idx="11">
                  <c:v>855738.58666111925</c:v>
                </c:pt>
                <c:pt idx="12">
                  <c:v>827619.78659258678</c:v>
                </c:pt>
                <c:pt idx="13">
                  <c:v>734535.74502075417</c:v>
                </c:pt>
                <c:pt idx="14">
                  <c:v>628636.97072534601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910-4D85-9A93-49F6363A6A08}"/>
            </c:ext>
          </c:extLst>
        </c:ser>
        <c:ser>
          <c:idx val="2"/>
          <c:order val="2"/>
          <c:tx>
            <c:strRef>
              <c:f>'2012 - 2026'!$L$2</c:f>
              <c:strCache>
                <c:ptCount val="1"/>
                <c:pt idx="0">
                  <c:v>Objetivo Mínimo</c:v>
                </c:pt>
              </c:strCache>
            </c:strRef>
          </c:tx>
          <c:spPr>
            <a:ln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'2012 - 2026'!$I$3:$I$17</c:f>
              <c:numCache>
                <c:formatCode>General</c:formatCode>
                <c:ptCount val="1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  <c:pt idx="14">
                  <c:v>2026</c:v>
                </c:pt>
              </c:numCache>
            </c:numRef>
          </c:cat>
          <c:val>
            <c:numRef>
              <c:f>'2012 - 2026'!$L$3:$L$17</c:f>
              <c:numCache>
                <c:formatCode>General</c:formatCode>
                <c:ptCount val="15"/>
                <c:pt idx="2" formatCode="\$\ #,##0.00">
                  <c:v>599213.68999999994</c:v>
                </c:pt>
                <c:pt idx="3" formatCode="\$\ #,##0.00">
                  <c:v>791852.48</c:v>
                </c:pt>
                <c:pt idx="4" formatCode="\$\ #,##0.00">
                  <c:v>791852.48</c:v>
                </c:pt>
                <c:pt idx="5" formatCode="\$\ #,##0.00">
                  <c:v>786394.2</c:v>
                </c:pt>
                <c:pt idx="6" formatCode="\$\ #,##0.00">
                  <c:v>1015424.41</c:v>
                </c:pt>
                <c:pt idx="7" formatCode="\$\ #,##0.00">
                  <c:v>1016302.22</c:v>
                </c:pt>
                <c:pt idx="8" formatCode="\$\ #,##0.00">
                  <c:v>869409.41</c:v>
                </c:pt>
                <c:pt idx="9" formatCode="\$\ #,##0.00">
                  <c:v>864817.23</c:v>
                </c:pt>
                <c:pt idx="10" formatCode="\$\ #,##0.00">
                  <c:v>726996.85</c:v>
                </c:pt>
                <c:pt idx="11" formatCode="\$\ #,##0.00">
                  <c:v>872396.23</c:v>
                </c:pt>
                <c:pt idx="12" formatCode="\$\ #,##0.00">
                  <c:v>1046875.48</c:v>
                </c:pt>
                <c:pt idx="13" formatCode="\$\ #,##0.00">
                  <c:v>1046875.48</c:v>
                </c:pt>
                <c:pt idx="14" formatCode="\$\ #,##0.00">
                  <c:v>1165000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910-4D85-9A93-49F6363A6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\ #,##0.00" sourceLinked="1"/>
        <c:majorTickMark val="none"/>
        <c:minorTickMark val="none"/>
        <c:tickLblPos val="nextTo"/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 sz="1200" b="1">
                <a:latin typeface="Calibri"/>
              </a:defRPr>
            </a:pPr>
            <a:r>
              <a:rPr lang="es-PE"/>
              <a:t>Evolución OC Industria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'2012 - 2026'!$N$26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'2012 - 2026'!$A$27:$A$42</c:f>
              <c:numCache>
                <c:formatCode>General</c:formatCod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</c:numCache>
            </c:numRef>
          </c:cat>
          <c:val>
            <c:numRef>
              <c:f>'2012 - 2026'!$N$27:$N$42</c:f>
              <c:numCache>
                <c:formatCode>\$\ #,##0.00</c:formatCode>
                <c:ptCount val="16"/>
                <c:pt idx="0">
                  <c:v>174449.84454545454</c:v>
                </c:pt>
                <c:pt idx="1">
                  <c:v>166268.47999999998</c:v>
                </c:pt>
                <c:pt idx="2">
                  <c:v>255217.53999999998</c:v>
                </c:pt>
                <c:pt idx="3">
                  <c:v>391759.97</c:v>
                </c:pt>
                <c:pt idx="4">
                  <c:v>268015.51</c:v>
                </c:pt>
                <c:pt idx="5">
                  <c:v>256228.26000000004</c:v>
                </c:pt>
                <c:pt idx="6">
                  <c:v>643148.40000000014</c:v>
                </c:pt>
                <c:pt idx="7">
                  <c:v>451176.76</c:v>
                </c:pt>
                <c:pt idx="8">
                  <c:v>165029.80000000002</c:v>
                </c:pt>
                <c:pt idx="9">
                  <c:v>75179.39</c:v>
                </c:pt>
                <c:pt idx="10">
                  <c:v>228334.30000000002</c:v>
                </c:pt>
                <c:pt idx="11">
                  <c:v>62485.97</c:v>
                </c:pt>
                <c:pt idx="12">
                  <c:v>85710.339999999982</c:v>
                </c:pt>
                <c:pt idx="13">
                  <c:v>270349.82999999996</c:v>
                </c:pt>
                <c:pt idx="14">
                  <c:v>124515.89000000001</c:v>
                </c:pt>
                <c:pt idx="15">
                  <c:v>58230.19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1-431D-B483-1152330E3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shape val="box"/>
        <c:axId val="10"/>
        <c:axId val="100"/>
        <c:axId val="1000"/>
      </c:bar3D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\$\ #,##0.00" sourceLinked="1"/>
        <c:majorTickMark val="none"/>
        <c:minorTickMark val="none"/>
        <c:tickLblPos val="nextTo"/>
        <c:crossAx val="10"/>
        <c:crosses val="autoZero"/>
        <c:crossBetween val="between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 sz="1200" b="1">
                <a:latin typeface="Calibri"/>
              </a:defRPr>
            </a:pPr>
            <a:r>
              <a:rPr lang="es-PE"/>
              <a:t>Montos Ordenes Mes a Mes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'2012 - 2026'!$A$27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'2012 - 2026'!$B$26:$M$26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'2012 - 2026'!$B$27:$M$27</c:f>
              <c:numCache>
                <c:formatCode>\$\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8081.84</c:v>
                </c:pt>
                <c:pt idx="3">
                  <c:v>1225.454545454545</c:v>
                </c:pt>
                <c:pt idx="4">
                  <c:v>0</c:v>
                </c:pt>
                <c:pt idx="5">
                  <c:v>1996</c:v>
                </c:pt>
                <c:pt idx="6">
                  <c:v>840.55</c:v>
                </c:pt>
                <c:pt idx="7">
                  <c:v>34797.82</c:v>
                </c:pt>
                <c:pt idx="8">
                  <c:v>0</c:v>
                </c:pt>
                <c:pt idx="9">
                  <c:v>111991.51</c:v>
                </c:pt>
                <c:pt idx="10">
                  <c:v>6400</c:v>
                </c:pt>
                <c:pt idx="11">
                  <c:v>9116.67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C8D-4F55-B349-C7A734ACE0AB}"/>
            </c:ext>
          </c:extLst>
        </c:ser>
        <c:ser>
          <c:idx val="1"/>
          <c:order val="1"/>
          <c:tx>
            <c:strRef>
              <c:f>'2012 - 2026'!$A$28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'2012 - 2026'!$B$26:$M$26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'2012 - 2026'!$B$28:$M$28</c:f>
              <c:numCache>
                <c:formatCode>\$\ #,##0.00</c:formatCode>
                <c:ptCount val="12"/>
                <c:pt idx="0">
                  <c:v>288.75</c:v>
                </c:pt>
                <c:pt idx="1">
                  <c:v>16966.009999999998</c:v>
                </c:pt>
                <c:pt idx="2">
                  <c:v>11996.84</c:v>
                </c:pt>
                <c:pt idx="3">
                  <c:v>10473.799999999999</c:v>
                </c:pt>
                <c:pt idx="4">
                  <c:v>23696.62</c:v>
                </c:pt>
                <c:pt idx="5">
                  <c:v>17358.2</c:v>
                </c:pt>
                <c:pt idx="6">
                  <c:v>11531.73</c:v>
                </c:pt>
                <c:pt idx="7">
                  <c:v>11142.81</c:v>
                </c:pt>
                <c:pt idx="8">
                  <c:v>3372.72</c:v>
                </c:pt>
                <c:pt idx="9">
                  <c:v>370.5</c:v>
                </c:pt>
                <c:pt idx="10">
                  <c:v>38269.660000000003</c:v>
                </c:pt>
                <c:pt idx="11">
                  <c:v>20800.84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C8D-4F55-B349-C7A734ACE0AB}"/>
            </c:ext>
          </c:extLst>
        </c:ser>
        <c:ser>
          <c:idx val="2"/>
          <c:order val="2"/>
          <c:tx>
            <c:strRef>
              <c:f>'2012 - 2026'!$A$29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'2012 - 2026'!$B$26:$M$26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'2012 - 2026'!$B$29:$M$29</c:f>
              <c:numCache>
                <c:formatCode>\$\ #,##0.00</c:formatCode>
                <c:ptCount val="12"/>
                <c:pt idx="0">
                  <c:v>14551.34</c:v>
                </c:pt>
                <c:pt idx="1">
                  <c:v>19427.05</c:v>
                </c:pt>
                <c:pt idx="2">
                  <c:v>2262</c:v>
                </c:pt>
                <c:pt idx="3">
                  <c:v>39092.379999999997</c:v>
                </c:pt>
                <c:pt idx="4">
                  <c:v>31540.28</c:v>
                </c:pt>
                <c:pt idx="5">
                  <c:v>19834.150000000001</c:v>
                </c:pt>
                <c:pt idx="6">
                  <c:v>3903.08</c:v>
                </c:pt>
                <c:pt idx="7">
                  <c:v>49596.05</c:v>
                </c:pt>
                <c:pt idx="8">
                  <c:v>11850.33</c:v>
                </c:pt>
                <c:pt idx="9">
                  <c:v>28657.57</c:v>
                </c:pt>
                <c:pt idx="10">
                  <c:v>34503.31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C8D-4F55-B349-C7A734ACE0AB}"/>
            </c:ext>
          </c:extLst>
        </c:ser>
        <c:ser>
          <c:idx val="3"/>
          <c:order val="3"/>
          <c:tx>
            <c:strRef>
              <c:f>'2012 - 2026'!$A$30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'2012 - 2026'!$B$26:$M$26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'2012 - 2026'!$B$30:$M$30</c:f>
              <c:numCache>
                <c:formatCode>\$\ #,##0.00</c:formatCode>
                <c:ptCount val="12"/>
                <c:pt idx="0">
                  <c:v>35533.57</c:v>
                </c:pt>
                <c:pt idx="1">
                  <c:v>3500</c:v>
                </c:pt>
                <c:pt idx="2">
                  <c:v>13796</c:v>
                </c:pt>
                <c:pt idx="3">
                  <c:v>6360</c:v>
                </c:pt>
                <c:pt idx="4">
                  <c:v>34670</c:v>
                </c:pt>
                <c:pt idx="5">
                  <c:v>20700</c:v>
                </c:pt>
                <c:pt idx="6">
                  <c:v>27649.9</c:v>
                </c:pt>
                <c:pt idx="7">
                  <c:v>12924.2</c:v>
                </c:pt>
                <c:pt idx="8">
                  <c:v>71445.259999999995</c:v>
                </c:pt>
                <c:pt idx="9">
                  <c:v>125296.03</c:v>
                </c:pt>
                <c:pt idx="10">
                  <c:v>19935.009999999998</c:v>
                </c:pt>
                <c:pt idx="11">
                  <c:v>19950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C8D-4F55-B349-C7A734ACE0AB}"/>
            </c:ext>
          </c:extLst>
        </c:ser>
        <c:ser>
          <c:idx val="4"/>
          <c:order val="4"/>
          <c:tx>
            <c:strRef>
              <c:f>'2012 - 2026'!$A$31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'2012 - 2026'!$B$26:$M$26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'2012 - 2026'!$B$31:$M$31</c:f>
              <c:numCache>
                <c:formatCode>\$\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48338.97</c:v>
                </c:pt>
                <c:pt idx="3">
                  <c:v>1619.9</c:v>
                </c:pt>
                <c:pt idx="4">
                  <c:v>400</c:v>
                </c:pt>
                <c:pt idx="5">
                  <c:v>54648.3</c:v>
                </c:pt>
                <c:pt idx="6">
                  <c:v>11186.8</c:v>
                </c:pt>
                <c:pt idx="7">
                  <c:v>32656.2</c:v>
                </c:pt>
                <c:pt idx="8">
                  <c:v>40006.21</c:v>
                </c:pt>
                <c:pt idx="9">
                  <c:v>7070.13</c:v>
                </c:pt>
                <c:pt idx="10">
                  <c:v>12900</c:v>
                </c:pt>
                <c:pt idx="11">
                  <c:v>59189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9C8D-4F55-B349-C7A734ACE0AB}"/>
            </c:ext>
          </c:extLst>
        </c:ser>
        <c:ser>
          <c:idx val="5"/>
          <c:order val="5"/>
          <c:tx>
            <c:strRef>
              <c:f>'2012 - 2026'!$A$32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'2012 - 2026'!$B$26:$M$26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'2012 - 2026'!$B$32:$M$32</c:f>
              <c:numCache>
                <c:formatCode>\$\ #,##0.00</c:formatCode>
                <c:ptCount val="12"/>
                <c:pt idx="0">
                  <c:v>64626.94</c:v>
                </c:pt>
                <c:pt idx="1">
                  <c:v>91133.37</c:v>
                </c:pt>
                <c:pt idx="2">
                  <c:v>28155.599999999999</c:v>
                </c:pt>
                <c:pt idx="3">
                  <c:v>1222.5</c:v>
                </c:pt>
                <c:pt idx="4">
                  <c:v>600</c:v>
                </c:pt>
                <c:pt idx="5">
                  <c:v>3688.4</c:v>
                </c:pt>
                <c:pt idx="6">
                  <c:v>25934.95</c:v>
                </c:pt>
                <c:pt idx="7">
                  <c:v>15845.01</c:v>
                </c:pt>
                <c:pt idx="8">
                  <c:v>4185.51</c:v>
                </c:pt>
                <c:pt idx="9">
                  <c:v>12128.1</c:v>
                </c:pt>
                <c:pt idx="10">
                  <c:v>3807.88</c:v>
                </c:pt>
                <c:pt idx="11">
                  <c:v>4900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9C8D-4F55-B349-C7A734ACE0AB}"/>
            </c:ext>
          </c:extLst>
        </c:ser>
        <c:ser>
          <c:idx val="6"/>
          <c:order val="6"/>
          <c:tx>
            <c:strRef>
              <c:f>'2012 - 2026'!$A$33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'2012 - 2026'!$B$26:$M$26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'2012 - 2026'!$B$33:$M$33</c:f>
              <c:numCache>
                <c:formatCode>\$\ #,##0.00</c:formatCode>
                <c:ptCount val="12"/>
                <c:pt idx="0">
                  <c:v>19607.87</c:v>
                </c:pt>
                <c:pt idx="1">
                  <c:v>133750.17000000001</c:v>
                </c:pt>
                <c:pt idx="2">
                  <c:v>23056.54</c:v>
                </c:pt>
                <c:pt idx="3">
                  <c:v>1982</c:v>
                </c:pt>
                <c:pt idx="4">
                  <c:v>41474</c:v>
                </c:pt>
                <c:pt idx="5">
                  <c:v>5405.5</c:v>
                </c:pt>
                <c:pt idx="6">
                  <c:v>144797.51</c:v>
                </c:pt>
                <c:pt idx="7">
                  <c:v>147549.01</c:v>
                </c:pt>
                <c:pt idx="8">
                  <c:v>8547.44</c:v>
                </c:pt>
                <c:pt idx="9">
                  <c:v>2414.9299999999998</c:v>
                </c:pt>
                <c:pt idx="10">
                  <c:v>65256.13</c:v>
                </c:pt>
                <c:pt idx="11">
                  <c:v>49307.3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9C8D-4F55-B349-C7A734ACE0AB}"/>
            </c:ext>
          </c:extLst>
        </c:ser>
        <c:ser>
          <c:idx val="7"/>
          <c:order val="7"/>
          <c:tx>
            <c:strRef>
              <c:f>'2012 - 2026'!$A$34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'2012 - 2026'!$B$26:$M$26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'2012 - 2026'!$B$34:$M$34</c:f>
              <c:numCache>
                <c:formatCode>\$\ #,##0.00</c:formatCode>
                <c:ptCount val="12"/>
                <c:pt idx="0">
                  <c:v>47082.85</c:v>
                </c:pt>
                <c:pt idx="1">
                  <c:v>26269.61</c:v>
                </c:pt>
                <c:pt idx="2">
                  <c:v>65385.66</c:v>
                </c:pt>
                <c:pt idx="3">
                  <c:v>22090.560000000001</c:v>
                </c:pt>
                <c:pt idx="4">
                  <c:v>142594.25</c:v>
                </c:pt>
                <c:pt idx="5">
                  <c:v>4320</c:v>
                </c:pt>
                <c:pt idx="6">
                  <c:v>2814.7</c:v>
                </c:pt>
                <c:pt idx="7">
                  <c:v>17059.71</c:v>
                </c:pt>
                <c:pt idx="8">
                  <c:v>18378</c:v>
                </c:pt>
                <c:pt idx="9">
                  <c:v>10400</c:v>
                </c:pt>
                <c:pt idx="10">
                  <c:v>88735.86</c:v>
                </c:pt>
                <c:pt idx="11">
                  <c:v>6045.56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9C8D-4F55-B349-C7A734ACE0AB}"/>
            </c:ext>
          </c:extLst>
        </c:ser>
        <c:ser>
          <c:idx val="8"/>
          <c:order val="8"/>
          <c:tx>
            <c:strRef>
              <c:f>'2012 - 2026'!$A$35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'2012 - 2026'!$B$26:$M$26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'2012 - 2026'!$B$35:$M$35</c:f>
              <c:numCache>
                <c:formatCode>\$\ #,##0.00</c:formatCode>
                <c:ptCount val="12"/>
                <c:pt idx="0">
                  <c:v>11400.28</c:v>
                </c:pt>
                <c:pt idx="1">
                  <c:v>9990</c:v>
                </c:pt>
                <c:pt idx="2">
                  <c:v>0</c:v>
                </c:pt>
                <c:pt idx="3">
                  <c:v>2682.46</c:v>
                </c:pt>
                <c:pt idx="4">
                  <c:v>95953.7</c:v>
                </c:pt>
                <c:pt idx="5">
                  <c:v>22179.66</c:v>
                </c:pt>
                <c:pt idx="6">
                  <c:v>0</c:v>
                </c:pt>
                <c:pt idx="7">
                  <c:v>9915.6</c:v>
                </c:pt>
                <c:pt idx="8">
                  <c:v>800</c:v>
                </c:pt>
                <c:pt idx="9">
                  <c:v>850</c:v>
                </c:pt>
                <c:pt idx="10">
                  <c:v>11258.1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9C8D-4F55-B349-C7A734ACE0AB}"/>
            </c:ext>
          </c:extLst>
        </c:ser>
        <c:ser>
          <c:idx val="9"/>
          <c:order val="9"/>
          <c:tx>
            <c:strRef>
              <c:f>'2012 - 2026'!$A$36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'2012 - 2026'!$B$26:$M$26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'2012 - 2026'!$B$36:$M$36</c:f>
              <c:numCache>
                <c:formatCode>\$\ #,##0.00</c:formatCode>
                <c:ptCount val="12"/>
                <c:pt idx="0">
                  <c:v>11188.55</c:v>
                </c:pt>
                <c:pt idx="1">
                  <c:v>33333.199999999997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16924.46</c:v>
                </c:pt>
                <c:pt idx="7">
                  <c:v>110</c:v>
                </c:pt>
                <c:pt idx="8">
                  <c:v>1354.46</c:v>
                </c:pt>
                <c:pt idx="9">
                  <c:v>1452.34</c:v>
                </c:pt>
                <c:pt idx="10">
                  <c:v>3544.38</c:v>
                </c:pt>
                <c:pt idx="11">
                  <c:v>7272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9C8D-4F55-B349-C7A734ACE0AB}"/>
            </c:ext>
          </c:extLst>
        </c:ser>
        <c:ser>
          <c:idx val="10"/>
          <c:order val="10"/>
          <c:tx>
            <c:strRef>
              <c:f>'2012 - 2026'!$A$37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'2012 - 2026'!$B$26:$M$26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'2012 - 2026'!$B$37:$M$37</c:f>
              <c:numCache>
                <c:formatCode>\$\ #,##0.00</c:formatCode>
                <c:ptCount val="12"/>
                <c:pt idx="0">
                  <c:v>8601.17</c:v>
                </c:pt>
                <c:pt idx="1">
                  <c:v>0</c:v>
                </c:pt>
                <c:pt idx="2">
                  <c:v>1104.57</c:v>
                </c:pt>
                <c:pt idx="3">
                  <c:v>4337.71</c:v>
                </c:pt>
                <c:pt idx="4">
                  <c:v>0</c:v>
                </c:pt>
                <c:pt idx="5">
                  <c:v>0</c:v>
                </c:pt>
                <c:pt idx="6">
                  <c:v>155</c:v>
                </c:pt>
                <c:pt idx="7">
                  <c:v>202961.72</c:v>
                </c:pt>
                <c:pt idx="8">
                  <c:v>127.78</c:v>
                </c:pt>
                <c:pt idx="9">
                  <c:v>7402.35</c:v>
                </c:pt>
                <c:pt idx="10">
                  <c:v>2438</c:v>
                </c:pt>
                <c:pt idx="11">
                  <c:v>1206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9C8D-4F55-B349-C7A734ACE0AB}"/>
            </c:ext>
          </c:extLst>
        </c:ser>
        <c:ser>
          <c:idx val="11"/>
          <c:order val="11"/>
          <c:tx>
            <c:strRef>
              <c:f>'2012 - 2026'!$A$38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'2012 - 2026'!$B$26:$M$26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'2012 - 2026'!$B$38:$M$38</c:f>
              <c:numCache>
                <c:formatCode>\$\ #,##0.00</c:formatCode>
                <c:ptCount val="12"/>
                <c:pt idx="0">
                  <c:v>0</c:v>
                </c:pt>
                <c:pt idx="1">
                  <c:v>1801.85</c:v>
                </c:pt>
                <c:pt idx="2">
                  <c:v>6522.74</c:v>
                </c:pt>
                <c:pt idx="3">
                  <c:v>11039.54</c:v>
                </c:pt>
                <c:pt idx="4">
                  <c:v>471.6</c:v>
                </c:pt>
                <c:pt idx="5">
                  <c:v>14709</c:v>
                </c:pt>
                <c:pt idx="6">
                  <c:v>0</c:v>
                </c:pt>
                <c:pt idx="7">
                  <c:v>9710</c:v>
                </c:pt>
                <c:pt idx="8">
                  <c:v>100</c:v>
                </c:pt>
                <c:pt idx="9">
                  <c:v>17001.240000000002</c:v>
                </c:pt>
                <c:pt idx="10">
                  <c:v>1130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9C8D-4F55-B349-C7A734ACE0AB}"/>
            </c:ext>
          </c:extLst>
        </c:ser>
        <c:ser>
          <c:idx val="12"/>
          <c:order val="12"/>
          <c:tx>
            <c:strRef>
              <c:f>'2012 - 2026'!$A$39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'2012 - 2026'!$B$26:$M$26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'2012 - 2026'!$B$39:$M$39</c:f>
              <c:numCache>
                <c:formatCode>\$\ #,##0.00</c:formatCode>
                <c:ptCount val="12"/>
                <c:pt idx="0">
                  <c:v>0</c:v>
                </c:pt>
                <c:pt idx="1">
                  <c:v>61177.52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4038.44</c:v>
                </c:pt>
                <c:pt idx="8">
                  <c:v>0</c:v>
                </c:pt>
                <c:pt idx="9">
                  <c:v>12265</c:v>
                </c:pt>
                <c:pt idx="10">
                  <c:v>6952.98</c:v>
                </c:pt>
                <c:pt idx="11">
                  <c:v>1276.4000000000001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9C8D-4F55-B349-C7A734ACE0AB}"/>
            </c:ext>
          </c:extLst>
        </c:ser>
        <c:ser>
          <c:idx val="13"/>
          <c:order val="13"/>
          <c:tx>
            <c:strRef>
              <c:f>'2012 - 2026'!$A$40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'2012 - 2026'!$B$26:$M$26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'2012 - 2026'!$B$40:$M$40</c:f>
              <c:numCache>
                <c:formatCode>\$\ #,##0.00</c:formatCode>
                <c:ptCount val="12"/>
                <c:pt idx="0">
                  <c:v>4488.68</c:v>
                </c:pt>
                <c:pt idx="1">
                  <c:v>71868.06</c:v>
                </c:pt>
                <c:pt idx="2">
                  <c:v>18225.89</c:v>
                </c:pt>
                <c:pt idx="3">
                  <c:v>15772.49</c:v>
                </c:pt>
                <c:pt idx="4">
                  <c:v>2420</c:v>
                </c:pt>
                <c:pt idx="5">
                  <c:v>9325</c:v>
                </c:pt>
                <c:pt idx="6">
                  <c:v>80</c:v>
                </c:pt>
                <c:pt idx="7">
                  <c:v>0</c:v>
                </c:pt>
                <c:pt idx="8">
                  <c:v>7716.63</c:v>
                </c:pt>
                <c:pt idx="9">
                  <c:v>62061.34</c:v>
                </c:pt>
                <c:pt idx="10">
                  <c:v>27973.71</c:v>
                </c:pt>
                <c:pt idx="11">
                  <c:v>50418.03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9C8D-4F55-B349-C7A734ACE0AB}"/>
            </c:ext>
          </c:extLst>
        </c:ser>
        <c:ser>
          <c:idx val="14"/>
          <c:order val="14"/>
          <c:tx>
            <c:strRef>
              <c:f>'2012 - 2026'!$A$41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'2012 - 2026'!$B$26:$M$26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'2012 - 2026'!$B$41:$M$41</c:f>
              <c:numCache>
                <c:formatCode>\$\ #,##0.00</c:formatCode>
                <c:ptCount val="12"/>
                <c:pt idx="0">
                  <c:v>4932</c:v>
                </c:pt>
                <c:pt idx="1">
                  <c:v>16355</c:v>
                </c:pt>
                <c:pt idx="2">
                  <c:v>21167.93</c:v>
                </c:pt>
                <c:pt idx="3">
                  <c:v>2998.9</c:v>
                </c:pt>
                <c:pt idx="4">
                  <c:v>3408</c:v>
                </c:pt>
                <c:pt idx="5">
                  <c:v>12106.81</c:v>
                </c:pt>
                <c:pt idx="6">
                  <c:v>3745</c:v>
                </c:pt>
                <c:pt idx="7">
                  <c:v>10726.67</c:v>
                </c:pt>
                <c:pt idx="8">
                  <c:v>13640.04</c:v>
                </c:pt>
                <c:pt idx="9">
                  <c:v>9276.19</c:v>
                </c:pt>
                <c:pt idx="10">
                  <c:v>4000.64</c:v>
                </c:pt>
                <c:pt idx="11">
                  <c:v>22158.71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9C8D-4F55-B349-C7A734ACE0AB}"/>
            </c:ext>
          </c:extLst>
        </c:ser>
        <c:ser>
          <c:idx val="15"/>
          <c:order val="15"/>
          <c:tx>
            <c:strRef>
              <c:f>'2012 - 2026'!$A$42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'2012 - 2026'!$B$26:$M$26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'2012 - 2026'!$B$42:$M$42</c:f>
              <c:numCache>
                <c:formatCode>\$\ #,##0.00</c:formatCode>
                <c:ptCount val="12"/>
                <c:pt idx="0">
                  <c:v>2563.14</c:v>
                </c:pt>
                <c:pt idx="1">
                  <c:v>23056.05</c:v>
                </c:pt>
                <c:pt idx="2">
                  <c:v>2180</c:v>
                </c:pt>
                <c:pt idx="3">
                  <c:v>10000</c:v>
                </c:pt>
                <c:pt idx="4">
                  <c:v>0</c:v>
                </c:pt>
                <c:pt idx="5">
                  <c:v>880</c:v>
                </c:pt>
                <c:pt idx="6">
                  <c:v>16251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3300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F-9C8D-4F55-B349-C7A734ACE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"/>
        <c:axId val="100"/>
        <c:axId val="1000"/>
      </c:bar3D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\$\ #,##0.00" sourceLinked="1"/>
        <c:majorTickMark val="none"/>
        <c:minorTickMark val="none"/>
        <c:tickLblPos val="nextTo"/>
        <c:crossAx val="10"/>
        <c:crosses val="autoZero"/>
        <c:crossBetween val="between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 sz="1200" b="1">
                <a:latin typeface="Calibri"/>
              </a:defRPr>
            </a:pPr>
            <a:r>
              <a:rPr lang="es-PE"/>
              <a:t>Evolución OC Minería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'2012 - 2026'!$N$56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'2012 - 2026'!$A$57:$A$72</c:f>
              <c:numCache>
                <c:formatCode>General</c:formatCod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</c:numCache>
            </c:numRef>
          </c:cat>
          <c:val>
            <c:numRef>
              <c:f>'2012 - 2026'!$N$57:$N$72</c:f>
              <c:numCache>
                <c:formatCode>\$\ #,##0.00</c:formatCode>
                <c:ptCount val="16"/>
                <c:pt idx="0">
                  <c:v>498565.69999999995</c:v>
                </c:pt>
                <c:pt idx="1">
                  <c:v>345783.70000000007</c:v>
                </c:pt>
                <c:pt idx="2">
                  <c:v>653012.46000000008</c:v>
                </c:pt>
                <c:pt idx="3">
                  <c:v>844534.91999999993</c:v>
                </c:pt>
                <c:pt idx="4">
                  <c:v>1095447.8699999999</c:v>
                </c:pt>
                <c:pt idx="5">
                  <c:v>654251.29999999993</c:v>
                </c:pt>
                <c:pt idx="6">
                  <c:v>800419.79</c:v>
                </c:pt>
                <c:pt idx="7">
                  <c:v>1105312.25</c:v>
                </c:pt>
                <c:pt idx="8">
                  <c:v>1016658.0299999999</c:v>
                </c:pt>
                <c:pt idx="9">
                  <c:v>965369.65999999992</c:v>
                </c:pt>
                <c:pt idx="10">
                  <c:v>846822.34000000008</c:v>
                </c:pt>
                <c:pt idx="11">
                  <c:v>1385808.23</c:v>
                </c:pt>
                <c:pt idx="12">
                  <c:v>1335188.5999999999</c:v>
                </c:pt>
                <c:pt idx="13">
                  <c:v>1161291.47</c:v>
                </c:pt>
                <c:pt idx="14">
                  <c:v>1296067.1499999999</c:v>
                </c:pt>
                <c:pt idx="15">
                  <c:v>1144091.1100000001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98-421A-802D-135E02AEE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shape val="box"/>
        <c:axId val="10"/>
        <c:axId val="100"/>
        <c:axId val="1000"/>
      </c:bar3D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\$\ #,##0.00" sourceLinked="1"/>
        <c:majorTickMark val="none"/>
        <c:minorTickMark val="none"/>
        <c:tickLblPos val="nextTo"/>
        <c:crossAx val="10"/>
        <c:crosses val="autoZero"/>
        <c:crossBetween val="between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 sz="1200" b="1">
                <a:latin typeface="Calibri"/>
              </a:defRPr>
            </a:pPr>
            <a:r>
              <a:rPr lang="es-PE"/>
              <a:t>Montos Ordenes Mes a Mes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'2012 - 2026'!$A$57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'2012 - 2026'!$B$56:$M$56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'2012 - 2026'!$B$57:$M$57</c:f>
              <c:numCache>
                <c:formatCode>\$\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143668.9</c:v>
                </c:pt>
                <c:pt idx="3">
                  <c:v>46280.65</c:v>
                </c:pt>
                <c:pt idx="4">
                  <c:v>11504.24</c:v>
                </c:pt>
                <c:pt idx="5">
                  <c:v>93709.46</c:v>
                </c:pt>
                <c:pt idx="6">
                  <c:v>0</c:v>
                </c:pt>
                <c:pt idx="7">
                  <c:v>41411.919999999998</c:v>
                </c:pt>
                <c:pt idx="8">
                  <c:v>22074.98</c:v>
                </c:pt>
                <c:pt idx="9">
                  <c:v>51330.95</c:v>
                </c:pt>
                <c:pt idx="10">
                  <c:v>10405</c:v>
                </c:pt>
                <c:pt idx="11">
                  <c:v>78179.600000000006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4B0-44A3-AE48-693FB74F8729}"/>
            </c:ext>
          </c:extLst>
        </c:ser>
        <c:ser>
          <c:idx val="1"/>
          <c:order val="1"/>
          <c:tx>
            <c:strRef>
              <c:f>'2012 - 2026'!$A$58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'2012 - 2026'!$B$56:$M$56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'2012 - 2026'!$B$58:$M$58</c:f>
              <c:numCache>
                <c:formatCode>\$\ #,##0.00</c:formatCode>
                <c:ptCount val="12"/>
                <c:pt idx="0">
                  <c:v>6016.7</c:v>
                </c:pt>
                <c:pt idx="1">
                  <c:v>0</c:v>
                </c:pt>
                <c:pt idx="2">
                  <c:v>272173.48</c:v>
                </c:pt>
                <c:pt idx="3">
                  <c:v>9853.1200000000008</c:v>
                </c:pt>
                <c:pt idx="4">
                  <c:v>13313.7</c:v>
                </c:pt>
                <c:pt idx="5">
                  <c:v>8315.85</c:v>
                </c:pt>
                <c:pt idx="6">
                  <c:v>9464.65</c:v>
                </c:pt>
                <c:pt idx="7">
                  <c:v>2110.4</c:v>
                </c:pt>
                <c:pt idx="8">
                  <c:v>2368</c:v>
                </c:pt>
                <c:pt idx="9">
                  <c:v>0</c:v>
                </c:pt>
                <c:pt idx="10">
                  <c:v>9172.15</c:v>
                </c:pt>
                <c:pt idx="11">
                  <c:v>12995.65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4B0-44A3-AE48-693FB74F8729}"/>
            </c:ext>
          </c:extLst>
        </c:ser>
        <c:ser>
          <c:idx val="2"/>
          <c:order val="2"/>
          <c:tx>
            <c:strRef>
              <c:f>'2012 - 2026'!$A$59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'2012 - 2026'!$B$56:$M$56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'2012 - 2026'!$B$59:$M$59</c:f>
              <c:numCache>
                <c:formatCode>\$\ #,##0.00</c:formatCode>
                <c:ptCount val="12"/>
                <c:pt idx="0">
                  <c:v>9000</c:v>
                </c:pt>
                <c:pt idx="1">
                  <c:v>6885</c:v>
                </c:pt>
                <c:pt idx="2">
                  <c:v>222917.66</c:v>
                </c:pt>
                <c:pt idx="3">
                  <c:v>59817.55</c:v>
                </c:pt>
                <c:pt idx="4">
                  <c:v>394.4</c:v>
                </c:pt>
                <c:pt idx="5">
                  <c:v>24251.24</c:v>
                </c:pt>
                <c:pt idx="6">
                  <c:v>3454.21</c:v>
                </c:pt>
                <c:pt idx="7">
                  <c:v>39736.85</c:v>
                </c:pt>
                <c:pt idx="8">
                  <c:v>245081.41</c:v>
                </c:pt>
                <c:pt idx="9">
                  <c:v>6332.89</c:v>
                </c:pt>
                <c:pt idx="10">
                  <c:v>15281.25</c:v>
                </c:pt>
                <c:pt idx="11">
                  <c:v>19860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4B0-44A3-AE48-693FB74F8729}"/>
            </c:ext>
          </c:extLst>
        </c:ser>
        <c:ser>
          <c:idx val="3"/>
          <c:order val="3"/>
          <c:tx>
            <c:strRef>
              <c:f>'2012 - 2026'!$A$60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'2012 - 2026'!$B$56:$M$56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'2012 - 2026'!$B$60:$M$60</c:f>
              <c:numCache>
                <c:formatCode>\$\ #,##0.00</c:formatCode>
                <c:ptCount val="12"/>
                <c:pt idx="0">
                  <c:v>38211.699999999997</c:v>
                </c:pt>
                <c:pt idx="1">
                  <c:v>9714.39</c:v>
                </c:pt>
                <c:pt idx="2">
                  <c:v>74793.070000000007</c:v>
                </c:pt>
                <c:pt idx="3">
                  <c:v>270158.08000000002</c:v>
                </c:pt>
                <c:pt idx="4">
                  <c:v>92782.46</c:v>
                </c:pt>
                <c:pt idx="5">
                  <c:v>9014.08</c:v>
                </c:pt>
                <c:pt idx="6">
                  <c:v>26650.57</c:v>
                </c:pt>
                <c:pt idx="7">
                  <c:v>12078.26</c:v>
                </c:pt>
                <c:pt idx="8">
                  <c:v>123460.35</c:v>
                </c:pt>
                <c:pt idx="9">
                  <c:v>138294.32999999999</c:v>
                </c:pt>
                <c:pt idx="10">
                  <c:v>24996.16</c:v>
                </c:pt>
                <c:pt idx="11">
                  <c:v>24381.47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4B0-44A3-AE48-693FB74F8729}"/>
            </c:ext>
          </c:extLst>
        </c:ser>
        <c:ser>
          <c:idx val="4"/>
          <c:order val="4"/>
          <c:tx>
            <c:strRef>
              <c:f>'2012 - 2026'!$A$61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'2012 - 2026'!$B$56:$M$56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'2012 - 2026'!$B$61:$M$61</c:f>
              <c:numCache>
                <c:formatCode>\$\ #,##0.00</c:formatCode>
                <c:ptCount val="12"/>
                <c:pt idx="0">
                  <c:v>430.2</c:v>
                </c:pt>
                <c:pt idx="1">
                  <c:v>13222.02</c:v>
                </c:pt>
                <c:pt idx="2">
                  <c:v>118619.54</c:v>
                </c:pt>
                <c:pt idx="3">
                  <c:v>53498.21</c:v>
                </c:pt>
                <c:pt idx="4">
                  <c:v>251484.85</c:v>
                </c:pt>
                <c:pt idx="5">
                  <c:v>108690.8</c:v>
                </c:pt>
                <c:pt idx="6">
                  <c:v>82851.87</c:v>
                </c:pt>
                <c:pt idx="7">
                  <c:v>221857.22</c:v>
                </c:pt>
                <c:pt idx="8">
                  <c:v>13438.53</c:v>
                </c:pt>
                <c:pt idx="9">
                  <c:v>165667.24</c:v>
                </c:pt>
                <c:pt idx="10">
                  <c:v>58231.71</c:v>
                </c:pt>
                <c:pt idx="11">
                  <c:v>7455.68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54B0-44A3-AE48-693FB74F8729}"/>
            </c:ext>
          </c:extLst>
        </c:ser>
        <c:ser>
          <c:idx val="5"/>
          <c:order val="5"/>
          <c:tx>
            <c:strRef>
              <c:f>'2012 - 2026'!$A$62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'2012 - 2026'!$B$56:$M$56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'2012 - 2026'!$B$62:$M$62</c:f>
              <c:numCache>
                <c:formatCode>\$\ #,##0.00</c:formatCode>
                <c:ptCount val="12"/>
                <c:pt idx="0">
                  <c:v>72022.039999999994</c:v>
                </c:pt>
                <c:pt idx="1">
                  <c:v>1333.87</c:v>
                </c:pt>
                <c:pt idx="2">
                  <c:v>173190.1</c:v>
                </c:pt>
                <c:pt idx="3">
                  <c:v>0</c:v>
                </c:pt>
                <c:pt idx="4">
                  <c:v>5926.71</c:v>
                </c:pt>
                <c:pt idx="5">
                  <c:v>0</c:v>
                </c:pt>
                <c:pt idx="6">
                  <c:v>34536.83</c:v>
                </c:pt>
                <c:pt idx="7">
                  <c:v>129249.84</c:v>
                </c:pt>
                <c:pt idx="8">
                  <c:v>230.94</c:v>
                </c:pt>
                <c:pt idx="9">
                  <c:v>146213.87</c:v>
                </c:pt>
                <c:pt idx="10">
                  <c:v>71232.600000000006</c:v>
                </c:pt>
                <c:pt idx="11">
                  <c:v>20314.5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54B0-44A3-AE48-693FB74F8729}"/>
            </c:ext>
          </c:extLst>
        </c:ser>
        <c:ser>
          <c:idx val="6"/>
          <c:order val="6"/>
          <c:tx>
            <c:strRef>
              <c:f>'2012 - 2026'!$A$63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'2012 - 2026'!$B$56:$M$56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'2012 - 2026'!$B$63:$M$63</c:f>
              <c:numCache>
                <c:formatCode>\$\ #,##0.00</c:formatCode>
                <c:ptCount val="12"/>
                <c:pt idx="0">
                  <c:v>230561.94</c:v>
                </c:pt>
                <c:pt idx="1">
                  <c:v>4217.0600000000004</c:v>
                </c:pt>
                <c:pt idx="2">
                  <c:v>24524.97</c:v>
                </c:pt>
                <c:pt idx="3">
                  <c:v>31573.59</c:v>
                </c:pt>
                <c:pt idx="4">
                  <c:v>63558.07</c:v>
                </c:pt>
                <c:pt idx="5">
                  <c:v>14802.02</c:v>
                </c:pt>
                <c:pt idx="6">
                  <c:v>67282.87</c:v>
                </c:pt>
                <c:pt idx="7">
                  <c:v>64937.37</c:v>
                </c:pt>
                <c:pt idx="8">
                  <c:v>17097.45</c:v>
                </c:pt>
                <c:pt idx="9">
                  <c:v>41572.120000000003</c:v>
                </c:pt>
                <c:pt idx="10">
                  <c:v>129161.75</c:v>
                </c:pt>
                <c:pt idx="11">
                  <c:v>111130.58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54B0-44A3-AE48-693FB74F8729}"/>
            </c:ext>
          </c:extLst>
        </c:ser>
        <c:ser>
          <c:idx val="7"/>
          <c:order val="7"/>
          <c:tx>
            <c:strRef>
              <c:f>'2012 - 2026'!$A$64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'2012 - 2026'!$B$56:$M$56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'2012 - 2026'!$B$64:$M$64</c:f>
              <c:numCache>
                <c:formatCode>\$\ #,##0.00</c:formatCode>
                <c:ptCount val="12"/>
                <c:pt idx="0">
                  <c:v>28222.77</c:v>
                </c:pt>
                <c:pt idx="1">
                  <c:v>68462.570000000007</c:v>
                </c:pt>
                <c:pt idx="2">
                  <c:v>55921.68</c:v>
                </c:pt>
                <c:pt idx="3">
                  <c:v>125454.25</c:v>
                </c:pt>
                <c:pt idx="4">
                  <c:v>86062.93</c:v>
                </c:pt>
                <c:pt idx="5">
                  <c:v>81885.789999999994</c:v>
                </c:pt>
                <c:pt idx="6">
                  <c:v>290620.09000000003</c:v>
                </c:pt>
                <c:pt idx="7">
                  <c:v>139982.07</c:v>
                </c:pt>
                <c:pt idx="8">
                  <c:v>126649.9</c:v>
                </c:pt>
                <c:pt idx="9">
                  <c:v>59949.58</c:v>
                </c:pt>
                <c:pt idx="10">
                  <c:v>24445.19</c:v>
                </c:pt>
                <c:pt idx="11">
                  <c:v>17655.43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54B0-44A3-AE48-693FB74F8729}"/>
            </c:ext>
          </c:extLst>
        </c:ser>
        <c:ser>
          <c:idx val="8"/>
          <c:order val="8"/>
          <c:tx>
            <c:strRef>
              <c:f>'2012 - 2026'!$A$65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'2012 - 2026'!$B$56:$M$56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'2012 - 2026'!$B$65:$M$65</c:f>
              <c:numCache>
                <c:formatCode>\$\ #,##0.00</c:formatCode>
                <c:ptCount val="12"/>
                <c:pt idx="0">
                  <c:v>28830.67</c:v>
                </c:pt>
                <c:pt idx="1">
                  <c:v>31165.4</c:v>
                </c:pt>
                <c:pt idx="2">
                  <c:v>43051.519999999997</c:v>
                </c:pt>
                <c:pt idx="3">
                  <c:v>10640.52</c:v>
                </c:pt>
                <c:pt idx="4">
                  <c:v>72350.55</c:v>
                </c:pt>
                <c:pt idx="5">
                  <c:v>58946.99</c:v>
                </c:pt>
                <c:pt idx="6">
                  <c:v>95984.19</c:v>
                </c:pt>
                <c:pt idx="7">
                  <c:v>60261.61</c:v>
                </c:pt>
                <c:pt idx="8">
                  <c:v>432907.71</c:v>
                </c:pt>
                <c:pt idx="9">
                  <c:v>46018.01</c:v>
                </c:pt>
                <c:pt idx="10">
                  <c:v>131238.43</c:v>
                </c:pt>
                <c:pt idx="11">
                  <c:v>5262.43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54B0-44A3-AE48-693FB74F8729}"/>
            </c:ext>
          </c:extLst>
        </c:ser>
        <c:ser>
          <c:idx val="9"/>
          <c:order val="9"/>
          <c:tx>
            <c:strRef>
              <c:f>'2012 - 2026'!$A$66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'2012 - 2026'!$B$56:$M$56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'2012 - 2026'!$B$66:$M$66</c:f>
              <c:numCache>
                <c:formatCode>\$\ #,##0.00</c:formatCode>
                <c:ptCount val="12"/>
                <c:pt idx="0">
                  <c:v>439460.93</c:v>
                </c:pt>
                <c:pt idx="1">
                  <c:v>57261.04</c:v>
                </c:pt>
                <c:pt idx="2">
                  <c:v>7545.35</c:v>
                </c:pt>
                <c:pt idx="3">
                  <c:v>112345.66</c:v>
                </c:pt>
                <c:pt idx="4">
                  <c:v>37383.5</c:v>
                </c:pt>
                <c:pt idx="5">
                  <c:v>19084.36</c:v>
                </c:pt>
                <c:pt idx="6">
                  <c:v>22998.97</c:v>
                </c:pt>
                <c:pt idx="7">
                  <c:v>122.72</c:v>
                </c:pt>
                <c:pt idx="8">
                  <c:v>733.5</c:v>
                </c:pt>
                <c:pt idx="9">
                  <c:v>9508.7000000000007</c:v>
                </c:pt>
                <c:pt idx="10">
                  <c:v>188367.77</c:v>
                </c:pt>
                <c:pt idx="11">
                  <c:v>70557.16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54B0-44A3-AE48-693FB74F8729}"/>
            </c:ext>
          </c:extLst>
        </c:ser>
        <c:ser>
          <c:idx val="10"/>
          <c:order val="10"/>
          <c:tx>
            <c:strRef>
              <c:f>'2012 - 2026'!$A$67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'2012 - 2026'!$B$56:$M$56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'2012 - 2026'!$B$67:$M$67</c:f>
              <c:numCache>
                <c:formatCode>\$\ #,##0.00</c:formatCode>
                <c:ptCount val="12"/>
                <c:pt idx="0">
                  <c:v>33426.400000000001</c:v>
                </c:pt>
                <c:pt idx="1">
                  <c:v>126852.66</c:v>
                </c:pt>
                <c:pt idx="2">
                  <c:v>119359.45</c:v>
                </c:pt>
                <c:pt idx="3">
                  <c:v>28573.05</c:v>
                </c:pt>
                <c:pt idx="4">
                  <c:v>41221.29</c:v>
                </c:pt>
                <c:pt idx="5">
                  <c:v>55937.77</c:v>
                </c:pt>
                <c:pt idx="6">
                  <c:v>12681.07</c:v>
                </c:pt>
                <c:pt idx="7">
                  <c:v>85620.99</c:v>
                </c:pt>
                <c:pt idx="8">
                  <c:v>157701.64000000001</c:v>
                </c:pt>
                <c:pt idx="9">
                  <c:v>37500.79</c:v>
                </c:pt>
                <c:pt idx="10">
                  <c:v>46712.11</c:v>
                </c:pt>
                <c:pt idx="11">
                  <c:v>101235.12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54B0-44A3-AE48-693FB74F8729}"/>
            </c:ext>
          </c:extLst>
        </c:ser>
        <c:ser>
          <c:idx val="11"/>
          <c:order val="11"/>
          <c:tx>
            <c:strRef>
              <c:f>'2012 - 2026'!$A$68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'2012 - 2026'!$B$56:$M$56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'2012 - 2026'!$B$68:$M$68</c:f>
              <c:numCache>
                <c:formatCode>\$\ #,##0.00</c:formatCode>
                <c:ptCount val="12"/>
                <c:pt idx="0">
                  <c:v>5637.6</c:v>
                </c:pt>
                <c:pt idx="1">
                  <c:v>300035.43</c:v>
                </c:pt>
                <c:pt idx="2">
                  <c:v>692168.37</c:v>
                </c:pt>
                <c:pt idx="3">
                  <c:v>26663.31</c:v>
                </c:pt>
                <c:pt idx="4">
                  <c:v>90523.26</c:v>
                </c:pt>
                <c:pt idx="5">
                  <c:v>68740.800000000003</c:v>
                </c:pt>
                <c:pt idx="6">
                  <c:v>85904.05</c:v>
                </c:pt>
                <c:pt idx="7">
                  <c:v>52986.28</c:v>
                </c:pt>
                <c:pt idx="8">
                  <c:v>31612.14</c:v>
                </c:pt>
                <c:pt idx="9">
                  <c:v>0</c:v>
                </c:pt>
                <c:pt idx="10">
                  <c:v>29513.55</c:v>
                </c:pt>
                <c:pt idx="11">
                  <c:v>2023.44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54B0-44A3-AE48-693FB74F8729}"/>
            </c:ext>
          </c:extLst>
        </c:ser>
        <c:ser>
          <c:idx val="12"/>
          <c:order val="12"/>
          <c:tx>
            <c:strRef>
              <c:f>'2012 - 2026'!$A$69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'2012 - 2026'!$B$56:$M$56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'2012 - 2026'!$B$69:$M$69</c:f>
              <c:numCache>
                <c:formatCode>\$\ #,##0.00</c:formatCode>
                <c:ptCount val="12"/>
                <c:pt idx="0">
                  <c:v>42009.17</c:v>
                </c:pt>
                <c:pt idx="1">
                  <c:v>73170.27</c:v>
                </c:pt>
                <c:pt idx="2">
                  <c:v>94.5</c:v>
                </c:pt>
                <c:pt idx="3">
                  <c:v>38501</c:v>
                </c:pt>
                <c:pt idx="4">
                  <c:v>19593</c:v>
                </c:pt>
                <c:pt idx="5">
                  <c:v>77890.02</c:v>
                </c:pt>
                <c:pt idx="6">
                  <c:v>90322.95</c:v>
                </c:pt>
                <c:pt idx="7">
                  <c:v>30854.25</c:v>
                </c:pt>
                <c:pt idx="8">
                  <c:v>94174.59</c:v>
                </c:pt>
                <c:pt idx="9">
                  <c:v>79362.929999999993</c:v>
                </c:pt>
                <c:pt idx="10">
                  <c:v>278050.34999999998</c:v>
                </c:pt>
                <c:pt idx="11">
                  <c:v>511165.57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54B0-44A3-AE48-693FB74F8729}"/>
            </c:ext>
          </c:extLst>
        </c:ser>
        <c:ser>
          <c:idx val="13"/>
          <c:order val="13"/>
          <c:tx>
            <c:strRef>
              <c:f>'2012 - 2026'!$A$70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'2012 - 2026'!$B$56:$M$56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'2012 - 2026'!$B$70:$M$70</c:f>
              <c:numCache>
                <c:formatCode>\$\ #,##0.00</c:formatCode>
                <c:ptCount val="12"/>
                <c:pt idx="0">
                  <c:v>26743.05</c:v>
                </c:pt>
                <c:pt idx="1">
                  <c:v>100956.79</c:v>
                </c:pt>
                <c:pt idx="2">
                  <c:v>95643.26</c:v>
                </c:pt>
                <c:pt idx="3">
                  <c:v>8195.7000000000007</c:v>
                </c:pt>
                <c:pt idx="4">
                  <c:v>50765.34</c:v>
                </c:pt>
                <c:pt idx="5">
                  <c:v>152462.38</c:v>
                </c:pt>
                <c:pt idx="6">
                  <c:v>12484.64</c:v>
                </c:pt>
                <c:pt idx="7">
                  <c:v>7980.69</c:v>
                </c:pt>
                <c:pt idx="8">
                  <c:v>36620.620000000003</c:v>
                </c:pt>
                <c:pt idx="9">
                  <c:v>64938.9</c:v>
                </c:pt>
                <c:pt idx="10">
                  <c:v>64043.24</c:v>
                </c:pt>
                <c:pt idx="11">
                  <c:v>540456.86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54B0-44A3-AE48-693FB74F8729}"/>
            </c:ext>
          </c:extLst>
        </c:ser>
        <c:ser>
          <c:idx val="14"/>
          <c:order val="14"/>
          <c:tx>
            <c:strRef>
              <c:f>'2012 - 2026'!$A$71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'2012 - 2026'!$B$56:$M$56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'2012 - 2026'!$B$71:$M$71</c:f>
              <c:numCache>
                <c:formatCode>\$\ #,##0.00</c:formatCode>
                <c:ptCount val="12"/>
                <c:pt idx="0">
                  <c:v>399037.61</c:v>
                </c:pt>
                <c:pt idx="1">
                  <c:v>1526.86</c:v>
                </c:pt>
                <c:pt idx="2">
                  <c:v>34108.410000000003</c:v>
                </c:pt>
                <c:pt idx="3">
                  <c:v>14330.6</c:v>
                </c:pt>
                <c:pt idx="4">
                  <c:v>4634.3</c:v>
                </c:pt>
                <c:pt idx="5">
                  <c:v>47481.74</c:v>
                </c:pt>
                <c:pt idx="6">
                  <c:v>62572.25</c:v>
                </c:pt>
                <c:pt idx="7">
                  <c:v>107029.35</c:v>
                </c:pt>
                <c:pt idx="8">
                  <c:v>4096.92</c:v>
                </c:pt>
                <c:pt idx="9">
                  <c:v>108796.02</c:v>
                </c:pt>
                <c:pt idx="10">
                  <c:v>336070.67</c:v>
                </c:pt>
                <c:pt idx="11">
                  <c:v>176382.42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54B0-44A3-AE48-693FB74F8729}"/>
            </c:ext>
          </c:extLst>
        </c:ser>
        <c:ser>
          <c:idx val="15"/>
          <c:order val="15"/>
          <c:tx>
            <c:strRef>
              <c:f>'2012 - 2026'!$A$72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'2012 - 2026'!$B$56:$M$56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'2012 - 2026'!$B$72:$M$72</c:f>
              <c:numCache>
                <c:formatCode>\$\ #,##0.00</c:formatCode>
                <c:ptCount val="12"/>
                <c:pt idx="0">
                  <c:v>32020.17</c:v>
                </c:pt>
                <c:pt idx="1">
                  <c:v>78565.289999999994</c:v>
                </c:pt>
                <c:pt idx="2">
                  <c:v>88547.91</c:v>
                </c:pt>
                <c:pt idx="3">
                  <c:v>36334.089999999997</c:v>
                </c:pt>
                <c:pt idx="4">
                  <c:v>45797.8</c:v>
                </c:pt>
                <c:pt idx="5">
                  <c:v>66020.17</c:v>
                </c:pt>
                <c:pt idx="6">
                  <c:v>273434.59999999998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523371.08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F-54B0-44A3-AE48-693FB74F8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"/>
        <c:axId val="100"/>
        <c:axId val="1000"/>
      </c:bar3D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\$\ #,##0.00" sourceLinked="1"/>
        <c:majorTickMark val="none"/>
        <c:minorTickMark val="none"/>
        <c:tickLblPos val="nextTo"/>
        <c:crossAx val="10"/>
        <c:crosses val="autoZero"/>
        <c:crossBetween val="between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 sz="1200" b="1">
                <a:latin typeface="Calibri"/>
              </a:defRPr>
            </a:pPr>
            <a:r>
              <a:rPr lang="es-PE"/>
              <a:t>Evolución Petroquímica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'2012 - 2026'!$N$86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'2012 - 2026'!$A$87:$A$102</c:f>
              <c:numCache>
                <c:formatCode>General</c:formatCod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</c:numCache>
            </c:numRef>
          </c:cat>
          <c:val>
            <c:numRef>
              <c:f>'2012 - 2026'!$N$87:$N$102</c:f>
              <c:numCache>
                <c:formatCode>\$\ #,##0.00</c:formatCode>
                <c:ptCount val="16"/>
                <c:pt idx="0">
                  <c:v>68838.66</c:v>
                </c:pt>
                <c:pt idx="1">
                  <c:v>182783.78</c:v>
                </c:pt>
                <c:pt idx="2">
                  <c:v>200570.49000000002</c:v>
                </c:pt>
                <c:pt idx="3">
                  <c:v>93891.220000000016</c:v>
                </c:pt>
                <c:pt idx="4">
                  <c:v>107680.81000000001</c:v>
                </c:pt>
                <c:pt idx="5">
                  <c:v>130598.94</c:v>
                </c:pt>
                <c:pt idx="6">
                  <c:v>248862.38999999998</c:v>
                </c:pt>
                <c:pt idx="7">
                  <c:v>259931.84000000003</c:v>
                </c:pt>
                <c:pt idx="8">
                  <c:v>895928.97999999986</c:v>
                </c:pt>
                <c:pt idx="9">
                  <c:v>307544.07999999996</c:v>
                </c:pt>
                <c:pt idx="10">
                  <c:v>207507.44</c:v>
                </c:pt>
                <c:pt idx="11">
                  <c:v>162405.41999999998</c:v>
                </c:pt>
                <c:pt idx="12">
                  <c:v>252745.14</c:v>
                </c:pt>
                <c:pt idx="13">
                  <c:v>253257.02999999997</c:v>
                </c:pt>
                <c:pt idx="14">
                  <c:v>234095.05</c:v>
                </c:pt>
                <c:pt idx="15">
                  <c:v>233638.8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C-4B41-8C7A-C57429A61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shape val="box"/>
        <c:axId val="10"/>
        <c:axId val="100"/>
        <c:axId val="1000"/>
      </c:bar3D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\$\ #,##0.00" sourceLinked="1"/>
        <c:majorTickMark val="none"/>
        <c:minorTickMark val="none"/>
        <c:tickLblPos val="nextTo"/>
        <c:crossAx val="10"/>
        <c:crosses val="autoZero"/>
        <c:crossBetween val="between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 sz="1200" b="1">
                <a:latin typeface="Calibri"/>
              </a:defRPr>
            </a:pPr>
            <a:r>
              <a:rPr lang="es-PE"/>
              <a:t>Montos Ordenes Mes a Mes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'2012 - 2026'!$A$87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'2012 - 2026'!$B$86:$M$86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'2012 - 2026'!$B$87:$M$87</c:f>
              <c:numCache>
                <c:formatCode>\$\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5468.28</c:v>
                </c:pt>
                <c:pt idx="5">
                  <c:v>0</c:v>
                </c:pt>
                <c:pt idx="6">
                  <c:v>4773.72</c:v>
                </c:pt>
                <c:pt idx="7">
                  <c:v>13919.66</c:v>
                </c:pt>
                <c:pt idx="8">
                  <c:v>1104</c:v>
                </c:pt>
                <c:pt idx="9">
                  <c:v>0</c:v>
                </c:pt>
                <c:pt idx="10">
                  <c:v>43210</c:v>
                </c:pt>
                <c:pt idx="11">
                  <c:v>363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CF6-4E02-8028-0F39721EF552}"/>
            </c:ext>
          </c:extLst>
        </c:ser>
        <c:ser>
          <c:idx val="1"/>
          <c:order val="1"/>
          <c:tx>
            <c:strRef>
              <c:f>'2012 - 2026'!$A$88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'2012 - 2026'!$B$86:$M$86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'2012 - 2026'!$B$88:$M$88</c:f>
              <c:numCache>
                <c:formatCode>\$\ #,##0.00</c:formatCode>
                <c:ptCount val="12"/>
                <c:pt idx="0">
                  <c:v>0</c:v>
                </c:pt>
                <c:pt idx="1">
                  <c:v>13861.19</c:v>
                </c:pt>
                <c:pt idx="2">
                  <c:v>1073</c:v>
                </c:pt>
                <c:pt idx="3">
                  <c:v>1053</c:v>
                </c:pt>
                <c:pt idx="4">
                  <c:v>3010</c:v>
                </c:pt>
                <c:pt idx="5">
                  <c:v>2677.05</c:v>
                </c:pt>
                <c:pt idx="6">
                  <c:v>0</c:v>
                </c:pt>
                <c:pt idx="7">
                  <c:v>105568.43</c:v>
                </c:pt>
                <c:pt idx="8">
                  <c:v>53389.23</c:v>
                </c:pt>
                <c:pt idx="9">
                  <c:v>509</c:v>
                </c:pt>
                <c:pt idx="10">
                  <c:v>1642.88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CF6-4E02-8028-0F39721EF552}"/>
            </c:ext>
          </c:extLst>
        </c:ser>
        <c:ser>
          <c:idx val="2"/>
          <c:order val="2"/>
          <c:tx>
            <c:strRef>
              <c:f>'2012 - 2026'!$A$89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'2012 - 2026'!$B$86:$M$86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'2012 - 2026'!$B$89:$M$89</c:f>
              <c:numCache>
                <c:formatCode>\$\ #,##0.00</c:formatCode>
                <c:ptCount val="12"/>
                <c:pt idx="0">
                  <c:v>1659.12</c:v>
                </c:pt>
                <c:pt idx="1">
                  <c:v>14352.53</c:v>
                </c:pt>
                <c:pt idx="2">
                  <c:v>15850.32</c:v>
                </c:pt>
                <c:pt idx="3">
                  <c:v>59939.15</c:v>
                </c:pt>
                <c:pt idx="4">
                  <c:v>38156.949999999997</c:v>
                </c:pt>
                <c:pt idx="5">
                  <c:v>3181.34</c:v>
                </c:pt>
                <c:pt idx="6">
                  <c:v>14384.07</c:v>
                </c:pt>
                <c:pt idx="7">
                  <c:v>26043.82</c:v>
                </c:pt>
                <c:pt idx="8">
                  <c:v>11998.09</c:v>
                </c:pt>
                <c:pt idx="9">
                  <c:v>2709.1</c:v>
                </c:pt>
                <c:pt idx="10">
                  <c:v>0</c:v>
                </c:pt>
                <c:pt idx="11">
                  <c:v>12296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CF6-4E02-8028-0F39721EF552}"/>
            </c:ext>
          </c:extLst>
        </c:ser>
        <c:ser>
          <c:idx val="3"/>
          <c:order val="3"/>
          <c:tx>
            <c:strRef>
              <c:f>'2012 - 2026'!$A$90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'2012 - 2026'!$B$86:$M$86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'2012 - 2026'!$B$90:$M$90</c:f>
              <c:numCache>
                <c:formatCode>\$\ #,##0.00</c:formatCode>
                <c:ptCount val="12"/>
                <c:pt idx="0">
                  <c:v>3588</c:v>
                </c:pt>
                <c:pt idx="1">
                  <c:v>24847.99</c:v>
                </c:pt>
                <c:pt idx="2">
                  <c:v>0</c:v>
                </c:pt>
                <c:pt idx="3">
                  <c:v>14548</c:v>
                </c:pt>
                <c:pt idx="4">
                  <c:v>3520</c:v>
                </c:pt>
                <c:pt idx="5">
                  <c:v>34875.43</c:v>
                </c:pt>
                <c:pt idx="6">
                  <c:v>2055</c:v>
                </c:pt>
                <c:pt idx="7">
                  <c:v>360</c:v>
                </c:pt>
                <c:pt idx="8">
                  <c:v>0</c:v>
                </c:pt>
                <c:pt idx="9">
                  <c:v>9068.2999999999993</c:v>
                </c:pt>
                <c:pt idx="10">
                  <c:v>0</c:v>
                </c:pt>
                <c:pt idx="11">
                  <c:v>1028.5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6CF6-4E02-8028-0F39721EF552}"/>
            </c:ext>
          </c:extLst>
        </c:ser>
        <c:ser>
          <c:idx val="4"/>
          <c:order val="4"/>
          <c:tx>
            <c:strRef>
              <c:f>'2012 - 2026'!$A$91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'2012 - 2026'!$B$86:$M$86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'2012 - 2026'!$B$91:$M$91</c:f>
              <c:numCache>
                <c:formatCode>\$\ #,##0.00</c:formatCode>
                <c:ptCount val="12"/>
                <c:pt idx="0">
                  <c:v>14229.12</c:v>
                </c:pt>
                <c:pt idx="1">
                  <c:v>7866.1</c:v>
                </c:pt>
                <c:pt idx="2">
                  <c:v>984.48</c:v>
                </c:pt>
                <c:pt idx="3">
                  <c:v>7838.49</c:v>
                </c:pt>
                <c:pt idx="4">
                  <c:v>1217.6600000000001</c:v>
                </c:pt>
                <c:pt idx="5">
                  <c:v>4848.4399999999996</c:v>
                </c:pt>
                <c:pt idx="6">
                  <c:v>0</c:v>
                </c:pt>
                <c:pt idx="7">
                  <c:v>0</c:v>
                </c:pt>
                <c:pt idx="8">
                  <c:v>33908.81</c:v>
                </c:pt>
                <c:pt idx="9">
                  <c:v>25648.62</c:v>
                </c:pt>
                <c:pt idx="10">
                  <c:v>5282.88</c:v>
                </c:pt>
                <c:pt idx="11">
                  <c:v>5856.21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6CF6-4E02-8028-0F39721EF552}"/>
            </c:ext>
          </c:extLst>
        </c:ser>
        <c:ser>
          <c:idx val="5"/>
          <c:order val="5"/>
          <c:tx>
            <c:strRef>
              <c:f>'2012 - 2026'!$A$92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'2012 - 2026'!$B$86:$M$86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'2012 - 2026'!$B$92:$M$92</c:f>
              <c:numCache>
                <c:formatCode>\$\ #,##0.00</c:formatCode>
                <c:ptCount val="12"/>
                <c:pt idx="0">
                  <c:v>20374.96</c:v>
                </c:pt>
                <c:pt idx="1">
                  <c:v>9826.6200000000008</c:v>
                </c:pt>
                <c:pt idx="2">
                  <c:v>8226</c:v>
                </c:pt>
                <c:pt idx="3">
                  <c:v>93.1</c:v>
                </c:pt>
                <c:pt idx="4">
                  <c:v>7169.29</c:v>
                </c:pt>
                <c:pt idx="5">
                  <c:v>15061.47</c:v>
                </c:pt>
                <c:pt idx="6">
                  <c:v>41332.32</c:v>
                </c:pt>
                <c:pt idx="7">
                  <c:v>18089.060000000001</c:v>
                </c:pt>
                <c:pt idx="8">
                  <c:v>2625.84</c:v>
                </c:pt>
                <c:pt idx="9">
                  <c:v>3397.28</c:v>
                </c:pt>
                <c:pt idx="10">
                  <c:v>0</c:v>
                </c:pt>
                <c:pt idx="11">
                  <c:v>4403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6CF6-4E02-8028-0F39721EF552}"/>
            </c:ext>
          </c:extLst>
        </c:ser>
        <c:ser>
          <c:idx val="6"/>
          <c:order val="6"/>
          <c:tx>
            <c:strRef>
              <c:f>'2012 - 2026'!$A$93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'2012 - 2026'!$B$86:$M$86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'2012 - 2026'!$B$93:$M$93</c:f>
              <c:numCache>
                <c:formatCode>\$\ #,##0.00</c:formatCode>
                <c:ptCount val="12"/>
                <c:pt idx="0">
                  <c:v>2400</c:v>
                </c:pt>
                <c:pt idx="1">
                  <c:v>4167</c:v>
                </c:pt>
                <c:pt idx="2">
                  <c:v>22372.52</c:v>
                </c:pt>
                <c:pt idx="3">
                  <c:v>82325.259999999995</c:v>
                </c:pt>
                <c:pt idx="4">
                  <c:v>4413.7</c:v>
                </c:pt>
                <c:pt idx="5">
                  <c:v>0</c:v>
                </c:pt>
                <c:pt idx="6">
                  <c:v>34010.449999999997</c:v>
                </c:pt>
                <c:pt idx="7">
                  <c:v>10047.040000000001</c:v>
                </c:pt>
                <c:pt idx="8">
                  <c:v>37740.949999999997</c:v>
                </c:pt>
                <c:pt idx="9">
                  <c:v>32464.09</c:v>
                </c:pt>
                <c:pt idx="10">
                  <c:v>18921.38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6CF6-4E02-8028-0F39721EF552}"/>
            </c:ext>
          </c:extLst>
        </c:ser>
        <c:ser>
          <c:idx val="7"/>
          <c:order val="7"/>
          <c:tx>
            <c:strRef>
              <c:f>'2012 - 2026'!$A$94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'2012 - 2026'!$B$86:$M$86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'2012 - 2026'!$B$94:$M$94</c:f>
              <c:numCache>
                <c:formatCode>\$\ #,##0.00</c:formatCode>
                <c:ptCount val="12"/>
                <c:pt idx="0">
                  <c:v>7968.5</c:v>
                </c:pt>
                <c:pt idx="1">
                  <c:v>5401.4</c:v>
                </c:pt>
                <c:pt idx="2">
                  <c:v>7433.89</c:v>
                </c:pt>
                <c:pt idx="3">
                  <c:v>12606.02</c:v>
                </c:pt>
                <c:pt idx="4">
                  <c:v>16316.77</c:v>
                </c:pt>
                <c:pt idx="5">
                  <c:v>1800</c:v>
                </c:pt>
                <c:pt idx="6">
                  <c:v>10149.57</c:v>
                </c:pt>
                <c:pt idx="7">
                  <c:v>12383.67</c:v>
                </c:pt>
                <c:pt idx="8">
                  <c:v>12903.52</c:v>
                </c:pt>
                <c:pt idx="9">
                  <c:v>131483.24</c:v>
                </c:pt>
                <c:pt idx="10">
                  <c:v>37845.1</c:v>
                </c:pt>
                <c:pt idx="11">
                  <c:v>3640.16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6CF6-4E02-8028-0F39721EF552}"/>
            </c:ext>
          </c:extLst>
        </c:ser>
        <c:ser>
          <c:idx val="8"/>
          <c:order val="8"/>
          <c:tx>
            <c:strRef>
              <c:f>'2012 - 2026'!$A$95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'2012 - 2026'!$B$86:$M$86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'2012 - 2026'!$B$95:$M$95</c:f>
              <c:numCache>
                <c:formatCode>\$\ #,##0.00</c:formatCode>
                <c:ptCount val="12"/>
                <c:pt idx="0">
                  <c:v>466435.24</c:v>
                </c:pt>
                <c:pt idx="1">
                  <c:v>13034.94</c:v>
                </c:pt>
                <c:pt idx="2">
                  <c:v>233422.76</c:v>
                </c:pt>
                <c:pt idx="3">
                  <c:v>76660</c:v>
                </c:pt>
                <c:pt idx="4">
                  <c:v>6802</c:v>
                </c:pt>
                <c:pt idx="5">
                  <c:v>6953.52</c:v>
                </c:pt>
                <c:pt idx="6">
                  <c:v>0</c:v>
                </c:pt>
                <c:pt idx="7">
                  <c:v>33360.32</c:v>
                </c:pt>
                <c:pt idx="8">
                  <c:v>14014.59</c:v>
                </c:pt>
                <c:pt idx="9">
                  <c:v>25336.44</c:v>
                </c:pt>
                <c:pt idx="10">
                  <c:v>17553.990000000002</c:v>
                </c:pt>
                <c:pt idx="11">
                  <c:v>2355.1799999999998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6CF6-4E02-8028-0F39721EF552}"/>
            </c:ext>
          </c:extLst>
        </c:ser>
        <c:ser>
          <c:idx val="9"/>
          <c:order val="9"/>
          <c:tx>
            <c:strRef>
              <c:f>'2012 - 2026'!$A$96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'2012 - 2026'!$B$86:$M$86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'2012 - 2026'!$B$96:$M$96</c:f>
              <c:numCache>
                <c:formatCode>\$\ #,##0.00</c:formatCode>
                <c:ptCount val="12"/>
                <c:pt idx="0">
                  <c:v>101614.12</c:v>
                </c:pt>
                <c:pt idx="1">
                  <c:v>13024.59</c:v>
                </c:pt>
                <c:pt idx="2">
                  <c:v>3089.01</c:v>
                </c:pt>
                <c:pt idx="3">
                  <c:v>390</c:v>
                </c:pt>
                <c:pt idx="4">
                  <c:v>48185.67</c:v>
                </c:pt>
                <c:pt idx="5">
                  <c:v>4778.6400000000003</c:v>
                </c:pt>
                <c:pt idx="6">
                  <c:v>835.36</c:v>
                </c:pt>
                <c:pt idx="7">
                  <c:v>84176.5</c:v>
                </c:pt>
                <c:pt idx="8">
                  <c:v>17431.97</c:v>
                </c:pt>
                <c:pt idx="9">
                  <c:v>0</c:v>
                </c:pt>
                <c:pt idx="10">
                  <c:v>6427.5</c:v>
                </c:pt>
                <c:pt idx="11">
                  <c:v>27590.720000000001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6CF6-4E02-8028-0F39721EF552}"/>
            </c:ext>
          </c:extLst>
        </c:ser>
        <c:ser>
          <c:idx val="10"/>
          <c:order val="10"/>
          <c:tx>
            <c:strRef>
              <c:f>'2012 - 2026'!$A$97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'2012 - 2026'!$B$86:$M$86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'2012 - 2026'!$B$97:$M$97</c:f>
              <c:numCache>
                <c:formatCode>\$\ #,##0.00</c:formatCode>
                <c:ptCount val="12"/>
                <c:pt idx="0">
                  <c:v>3420</c:v>
                </c:pt>
                <c:pt idx="1">
                  <c:v>450</c:v>
                </c:pt>
                <c:pt idx="2">
                  <c:v>25941.8</c:v>
                </c:pt>
                <c:pt idx="3">
                  <c:v>365</c:v>
                </c:pt>
                <c:pt idx="4">
                  <c:v>6052.51</c:v>
                </c:pt>
                <c:pt idx="5">
                  <c:v>3531.68</c:v>
                </c:pt>
                <c:pt idx="6">
                  <c:v>0</c:v>
                </c:pt>
                <c:pt idx="7">
                  <c:v>4689.0200000000004</c:v>
                </c:pt>
                <c:pt idx="8">
                  <c:v>19843.580000000002</c:v>
                </c:pt>
                <c:pt idx="9">
                  <c:v>14295.16</c:v>
                </c:pt>
                <c:pt idx="10">
                  <c:v>114442.35</c:v>
                </c:pt>
                <c:pt idx="11">
                  <c:v>14476.34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6CF6-4E02-8028-0F39721EF552}"/>
            </c:ext>
          </c:extLst>
        </c:ser>
        <c:ser>
          <c:idx val="11"/>
          <c:order val="11"/>
          <c:tx>
            <c:strRef>
              <c:f>'2012 - 2026'!$A$98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'2012 - 2026'!$B$86:$M$86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'2012 - 2026'!$B$98:$M$98</c:f>
              <c:numCache>
                <c:formatCode>\$\ #,##0.00</c:formatCode>
                <c:ptCount val="12"/>
                <c:pt idx="0">
                  <c:v>67901.98</c:v>
                </c:pt>
                <c:pt idx="1">
                  <c:v>0</c:v>
                </c:pt>
                <c:pt idx="2">
                  <c:v>8327.98</c:v>
                </c:pt>
                <c:pt idx="3">
                  <c:v>3376.22</c:v>
                </c:pt>
                <c:pt idx="4">
                  <c:v>388.73</c:v>
                </c:pt>
                <c:pt idx="5">
                  <c:v>390</c:v>
                </c:pt>
                <c:pt idx="6">
                  <c:v>8060</c:v>
                </c:pt>
                <c:pt idx="7">
                  <c:v>6960</c:v>
                </c:pt>
                <c:pt idx="8">
                  <c:v>49249.2</c:v>
                </c:pt>
                <c:pt idx="9">
                  <c:v>1470</c:v>
                </c:pt>
                <c:pt idx="10">
                  <c:v>16281.31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6CF6-4E02-8028-0F39721EF552}"/>
            </c:ext>
          </c:extLst>
        </c:ser>
        <c:ser>
          <c:idx val="12"/>
          <c:order val="12"/>
          <c:tx>
            <c:strRef>
              <c:f>'2012 - 2026'!$A$99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'2012 - 2026'!$B$86:$M$86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'2012 - 2026'!$B$99:$M$99</c:f>
              <c:numCache>
                <c:formatCode>\$\ #,##0.00</c:formatCode>
                <c:ptCount val="12"/>
                <c:pt idx="0">
                  <c:v>6048.14</c:v>
                </c:pt>
                <c:pt idx="1">
                  <c:v>1986.99</c:v>
                </c:pt>
                <c:pt idx="2">
                  <c:v>1686</c:v>
                </c:pt>
                <c:pt idx="3">
                  <c:v>64.08</c:v>
                </c:pt>
                <c:pt idx="4">
                  <c:v>0</c:v>
                </c:pt>
                <c:pt idx="5">
                  <c:v>670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51994.16</c:v>
                </c:pt>
                <c:pt idx="10">
                  <c:v>58893.71</c:v>
                </c:pt>
                <c:pt idx="11">
                  <c:v>131402.06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6CF6-4E02-8028-0F39721EF552}"/>
            </c:ext>
          </c:extLst>
        </c:ser>
        <c:ser>
          <c:idx val="13"/>
          <c:order val="13"/>
          <c:tx>
            <c:strRef>
              <c:f>'2012 - 2026'!$A$100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'2012 - 2026'!$B$86:$M$86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'2012 - 2026'!$B$100:$M$100</c:f>
              <c:numCache>
                <c:formatCode>\$\ #,##0.00</c:formatCode>
                <c:ptCount val="12"/>
                <c:pt idx="0">
                  <c:v>0</c:v>
                </c:pt>
                <c:pt idx="1">
                  <c:v>184968.58</c:v>
                </c:pt>
                <c:pt idx="2">
                  <c:v>0</c:v>
                </c:pt>
                <c:pt idx="3">
                  <c:v>5100</c:v>
                </c:pt>
                <c:pt idx="4">
                  <c:v>290</c:v>
                </c:pt>
                <c:pt idx="5">
                  <c:v>13314.54</c:v>
                </c:pt>
                <c:pt idx="6">
                  <c:v>0</c:v>
                </c:pt>
                <c:pt idx="7">
                  <c:v>410</c:v>
                </c:pt>
                <c:pt idx="8">
                  <c:v>3609.27</c:v>
                </c:pt>
                <c:pt idx="9">
                  <c:v>760</c:v>
                </c:pt>
                <c:pt idx="10">
                  <c:v>9815</c:v>
                </c:pt>
                <c:pt idx="11">
                  <c:v>34989.64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6CF6-4E02-8028-0F39721EF552}"/>
            </c:ext>
          </c:extLst>
        </c:ser>
        <c:ser>
          <c:idx val="14"/>
          <c:order val="14"/>
          <c:tx>
            <c:strRef>
              <c:f>'2012 - 2026'!$A$101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'2012 - 2026'!$B$86:$M$86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'2012 - 2026'!$B$101:$M$101</c:f>
              <c:numCache>
                <c:formatCode>\$\ #,##0.00</c:formatCode>
                <c:ptCount val="12"/>
                <c:pt idx="0">
                  <c:v>4326.68</c:v>
                </c:pt>
                <c:pt idx="1">
                  <c:v>0</c:v>
                </c:pt>
                <c:pt idx="2">
                  <c:v>4039.69</c:v>
                </c:pt>
                <c:pt idx="3">
                  <c:v>6892.8</c:v>
                </c:pt>
                <c:pt idx="4">
                  <c:v>9505.41</c:v>
                </c:pt>
                <c:pt idx="5">
                  <c:v>5401.51</c:v>
                </c:pt>
                <c:pt idx="6">
                  <c:v>1178.96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8130</c:v>
                </c:pt>
                <c:pt idx="11">
                  <c:v>194620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6CF6-4E02-8028-0F39721EF552}"/>
            </c:ext>
          </c:extLst>
        </c:ser>
        <c:ser>
          <c:idx val="15"/>
          <c:order val="15"/>
          <c:tx>
            <c:strRef>
              <c:f>'2012 - 2026'!$A$102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'2012 - 2026'!$B$86:$M$86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'2012 - 2026'!$B$102:$M$102</c:f>
              <c:numCache>
                <c:formatCode>\$\ #,##0.00</c:formatCode>
                <c:ptCount val="12"/>
                <c:pt idx="0">
                  <c:v>0</c:v>
                </c:pt>
                <c:pt idx="1">
                  <c:v>170600</c:v>
                </c:pt>
                <c:pt idx="2">
                  <c:v>4640</c:v>
                </c:pt>
                <c:pt idx="3">
                  <c:v>0</c:v>
                </c:pt>
                <c:pt idx="4">
                  <c:v>1420</c:v>
                </c:pt>
                <c:pt idx="5">
                  <c:v>21848.799999999999</c:v>
                </c:pt>
                <c:pt idx="6">
                  <c:v>3080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32050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F-6CF6-4E02-8028-0F39721EF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"/>
        <c:axId val="100"/>
        <c:axId val="1000"/>
      </c:bar3D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\$\ #,##0.00" sourceLinked="1"/>
        <c:majorTickMark val="none"/>
        <c:minorTickMark val="none"/>
        <c:tickLblPos val="nextTo"/>
        <c:crossAx val="10"/>
        <c:crosses val="autoZero"/>
        <c:crossBetween val="between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 sz="1200" b="1">
                <a:latin typeface="Calibri"/>
              </a:defRPr>
            </a:pPr>
            <a:r>
              <a:rPr lang="es-PE"/>
              <a:t>Evolución Anual Safety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'2012 - 2026'!$N$116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'2012 - 2026'!$A$117:$A$132</c:f>
              <c:numCache>
                <c:formatCode>General</c:formatCod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</c:numCache>
            </c:numRef>
          </c:cat>
          <c:val>
            <c:numRef>
              <c:f>'2012 - 2026'!$N$117:$N$132</c:f>
              <c:numCache>
                <c:formatCode>\$\ #,##0.00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204026.77</c:v>
                </c:pt>
                <c:pt idx="8">
                  <c:v>415548.76999999996</c:v>
                </c:pt>
                <c:pt idx="9">
                  <c:v>324186.92</c:v>
                </c:pt>
                <c:pt idx="10">
                  <c:v>124450.38</c:v>
                </c:pt>
                <c:pt idx="11">
                  <c:v>36422</c:v>
                </c:pt>
                <c:pt idx="12">
                  <c:v>0</c:v>
                </c:pt>
                <c:pt idx="13">
                  <c:v>2114</c:v>
                </c:pt>
                <c:pt idx="14">
                  <c:v>18379.7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D0-44FD-86E7-597486DE4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shape val="box"/>
        <c:axId val="10"/>
        <c:axId val="100"/>
        <c:axId val="1000"/>
      </c:bar3D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\$\ #,##0.00" sourceLinked="1"/>
        <c:majorTickMark val="none"/>
        <c:minorTickMark val="none"/>
        <c:tickLblPos val="nextTo"/>
        <c:crossAx val="10"/>
        <c:crosses val="autoZero"/>
        <c:crossBetween val="between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 sz="1200" b="1">
                <a:latin typeface="Calibri"/>
              </a:defRPr>
            </a:pPr>
            <a:r>
              <a:rPr lang="es-PE"/>
              <a:t>Montos Ordenes Mes a Mes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'2012 - 2026'!$A$117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'2012 - 2026'!$B$116:$M$116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'2012 - 2026'!$B$117:$M$117</c:f>
              <c:numCache>
                <c:formatCode>\$\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461-497C-968B-6BA6E29415BB}"/>
            </c:ext>
          </c:extLst>
        </c:ser>
        <c:ser>
          <c:idx val="1"/>
          <c:order val="1"/>
          <c:tx>
            <c:strRef>
              <c:f>'2012 - 2026'!$A$118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'2012 - 2026'!$B$116:$M$116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'2012 - 2026'!$B$118:$M$118</c:f>
              <c:numCache>
                <c:formatCode>\$\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461-497C-968B-6BA6E29415BB}"/>
            </c:ext>
          </c:extLst>
        </c:ser>
        <c:ser>
          <c:idx val="2"/>
          <c:order val="2"/>
          <c:tx>
            <c:strRef>
              <c:f>'2012 - 2026'!$A$119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'2012 - 2026'!$B$116:$M$116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'2012 - 2026'!$B$119:$M$119</c:f>
              <c:numCache>
                <c:formatCode>\$\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461-497C-968B-6BA6E29415BB}"/>
            </c:ext>
          </c:extLst>
        </c:ser>
        <c:ser>
          <c:idx val="3"/>
          <c:order val="3"/>
          <c:tx>
            <c:strRef>
              <c:f>'2012 - 2026'!$A$120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'2012 - 2026'!$B$116:$M$116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'2012 - 2026'!$B$120:$M$120</c:f>
              <c:numCache>
                <c:formatCode>\$\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461-497C-968B-6BA6E29415BB}"/>
            </c:ext>
          </c:extLst>
        </c:ser>
        <c:ser>
          <c:idx val="4"/>
          <c:order val="4"/>
          <c:tx>
            <c:strRef>
              <c:f>'2012 - 2026'!$A$121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'2012 - 2026'!$B$116:$M$116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'2012 - 2026'!$B$121:$M$121</c:f>
              <c:numCache>
                <c:formatCode>\$\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A461-497C-968B-6BA6E29415BB}"/>
            </c:ext>
          </c:extLst>
        </c:ser>
        <c:ser>
          <c:idx val="5"/>
          <c:order val="5"/>
          <c:tx>
            <c:strRef>
              <c:f>'2012 - 2026'!$A$122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'2012 - 2026'!$B$116:$M$116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'2012 - 2026'!$B$122:$M$122</c:f>
              <c:numCache>
                <c:formatCode>\$\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A461-497C-968B-6BA6E29415BB}"/>
            </c:ext>
          </c:extLst>
        </c:ser>
        <c:ser>
          <c:idx val="6"/>
          <c:order val="6"/>
          <c:tx>
            <c:strRef>
              <c:f>'2012 - 2026'!$A$123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'2012 - 2026'!$B$116:$M$116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'2012 - 2026'!$B$123:$M$123</c:f>
              <c:numCache>
                <c:formatCode>\$\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A461-497C-968B-6BA6E29415BB}"/>
            </c:ext>
          </c:extLst>
        </c:ser>
        <c:ser>
          <c:idx val="7"/>
          <c:order val="7"/>
          <c:tx>
            <c:strRef>
              <c:f>'2012 - 2026'!$A$124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'2012 - 2026'!$B$116:$M$116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'2012 - 2026'!$B$124:$M$124</c:f>
              <c:numCache>
                <c:formatCode>\$\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487</c:v>
                </c:pt>
                <c:pt idx="4">
                  <c:v>1600</c:v>
                </c:pt>
                <c:pt idx="5">
                  <c:v>0</c:v>
                </c:pt>
                <c:pt idx="6">
                  <c:v>4000</c:v>
                </c:pt>
                <c:pt idx="7">
                  <c:v>49860</c:v>
                </c:pt>
                <c:pt idx="8">
                  <c:v>45409.77</c:v>
                </c:pt>
                <c:pt idx="9">
                  <c:v>84970</c:v>
                </c:pt>
                <c:pt idx="10">
                  <c:v>17700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A461-497C-968B-6BA6E29415BB}"/>
            </c:ext>
          </c:extLst>
        </c:ser>
        <c:ser>
          <c:idx val="8"/>
          <c:order val="8"/>
          <c:tx>
            <c:strRef>
              <c:f>'2012 - 2026'!$A$125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'2012 - 2026'!$B$116:$M$116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'2012 - 2026'!$B$125:$M$125</c:f>
              <c:numCache>
                <c:formatCode>\$\ #,##0.00</c:formatCode>
                <c:ptCount val="12"/>
                <c:pt idx="0">
                  <c:v>700</c:v>
                </c:pt>
                <c:pt idx="1">
                  <c:v>0</c:v>
                </c:pt>
                <c:pt idx="2">
                  <c:v>600</c:v>
                </c:pt>
                <c:pt idx="3">
                  <c:v>4277.0200000000004</c:v>
                </c:pt>
                <c:pt idx="4">
                  <c:v>0</c:v>
                </c:pt>
                <c:pt idx="5">
                  <c:v>1800</c:v>
                </c:pt>
                <c:pt idx="6">
                  <c:v>0</c:v>
                </c:pt>
                <c:pt idx="7">
                  <c:v>2929.61</c:v>
                </c:pt>
                <c:pt idx="8">
                  <c:v>262354.92</c:v>
                </c:pt>
                <c:pt idx="9">
                  <c:v>15217.6</c:v>
                </c:pt>
                <c:pt idx="10">
                  <c:v>125619.62</c:v>
                </c:pt>
                <c:pt idx="11">
                  <c:v>2050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A461-497C-968B-6BA6E29415BB}"/>
            </c:ext>
          </c:extLst>
        </c:ser>
        <c:ser>
          <c:idx val="9"/>
          <c:order val="9"/>
          <c:tx>
            <c:strRef>
              <c:f>'2012 - 2026'!$A$126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'2012 - 2026'!$B$116:$M$116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'2012 - 2026'!$B$126:$M$126</c:f>
              <c:numCache>
                <c:formatCode>\$\ #,##0.00</c:formatCode>
                <c:ptCount val="12"/>
                <c:pt idx="0">
                  <c:v>250</c:v>
                </c:pt>
                <c:pt idx="1">
                  <c:v>880</c:v>
                </c:pt>
                <c:pt idx="2">
                  <c:v>0</c:v>
                </c:pt>
                <c:pt idx="3">
                  <c:v>56000</c:v>
                </c:pt>
                <c:pt idx="4">
                  <c:v>15000</c:v>
                </c:pt>
                <c:pt idx="5">
                  <c:v>0</c:v>
                </c:pt>
                <c:pt idx="6">
                  <c:v>8827.51</c:v>
                </c:pt>
                <c:pt idx="7">
                  <c:v>5150</c:v>
                </c:pt>
                <c:pt idx="8">
                  <c:v>4980</c:v>
                </c:pt>
                <c:pt idx="9">
                  <c:v>4069</c:v>
                </c:pt>
                <c:pt idx="10">
                  <c:v>12035</c:v>
                </c:pt>
                <c:pt idx="11">
                  <c:v>216995.41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A461-497C-968B-6BA6E29415BB}"/>
            </c:ext>
          </c:extLst>
        </c:ser>
        <c:ser>
          <c:idx val="10"/>
          <c:order val="10"/>
          <c:tx>
            <c:strRef>
              <c:f>'2012 - 2026'!$A$127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'2012 - 2026'!$B$116:$M$116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'2012 - 2026'!$B$127:$M$127</c:f>
              <c:numCache>
                <c:formatCode>\$\ #,##0.00</c:formatCode>
                <c:ptCount val="12"/>
                <c:pt idx="0">
                  <c:v>3000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111530.38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9920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A461-497C-968B-6BA6E29415BB}"/>
            </c:ext>
          </c:extLst>
        </c:ser>
        <c:ser>
          <c:idx val="11"/>
          <c:order val="11"/>
          <c:tx>
            <c:strRef>
              <c:f>'2012 - 2026'!$A$128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'2012 - 2026'!$B$116:$M$116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'2012 - 2026'!$B$128:$M$128</c:f>
              <c:numCache>
                <c:formatCode>\$\ #,##0.00</c:formatCode>
                <c:ptCount val="12"/>
                <c:pt idx="0">
                  <c:v>0</c:v>
                </c:pt>
                <c:pt idx="1">
                  <c:v>5415.99</c:v>
                </c:pt>
                <c:pt idx="2">
                  <c:v>0</c:v>
                </c:pt>
                <c:pt idx="3">
                  <c:v>3665.24</c:v>
                </c:pt>
                <c:pt idx="4">
                  <c:v>27340.77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A461-497C-968B-6BA6E29415BB}"/>
            </c:ext>
          </c:extLst>
        </c:ser>
        <c:ser>
          <c:idx val="12"/>
          <c:order val="12"/>
          <c:tx>
            <c:strRef>
              <c:f>'2012 - 2026'!$A$129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'2012 - 2026'!$B$116:$M$116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'2012 - 2026'!$B$129:$M$129</c:f>
              <c:numCache>
                <c:formatCode>\$\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A461-497C-968B-6BA6E29415BB}"/>
            </c:ext>
          </c:extLst>
        </c:ser>
        <c:ser>
          <c:idx val="13"/>
          <c:order val="13"/>
          <c:tx>
            <c:strRef>
              <c:f>'2012 - 2026'!$A$130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'2012 - 2026'!$B$116:$M$116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'2012 - 2026'!$B$130:$M$130</c:f>
              <c:numCache>
                <c:formatCode>\$\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2114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A461-497C-968B-6BA6E29415BB}"/>
            </c:ext>
          </c:extLst>
        </c:ser>
        <c:ser>
          <c:idx val="14"/>
          <c:order val="14"/>
          <c:tx>
            <c:strRef>
              <c:f>'2012 - 2026'!$A$131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'2012 - 2026'!$B$116:$M$116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'2012 - 2026'!$B$131:$M$131</c:f>
              <c:numCache>
                <c:formatCode>\$\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11821.2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608.5</c:v>
                </c:pt>
                <c:pt idx="11">
                  <c:v>5950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A461-497C-968B-6BA6E29415BB}"/>
            </c:ext>
          </c:extLst>
        </c:ser>
        <c:ser>
          <c:idx val="15"/>
          <c:order val="15"/>
          <c:tx>
            <c:strRef>
              <c:f>'2012 - 2026'!$A$132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cat>
            <c:strRef>
              <c:f>'2012 - 2026'!$B$116:$M$116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'2012 - 2026'!$B$132:$M$132</c:f>
              <c:numCache>
                <c:formatCode>\$\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F-A461-497C-968B-6BA6E2941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"/>
        <c:axId val="100"/>
        <c:axId val="1000"/>
      </c:bar3D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\$\ #,##0.00" sourceLinked="1"/>
        <c:majorTickMark val="none"/>
        <c:minorTickMark val="none"/>
        <c:tickLblPos val="nextTo"/>
        <c:crossAx val="10"/>
        <c:crosses val="autoZero"/>
        <c:crossBetween val="between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 sz="1200" b="1">
                <a:latin typeface="Calibri"/>
              </a:defRPr>
            </a:pPr>
            <a:r>
              <a:rPr lang="es-PE"/>
              <a:t>Evolución OC Mensual 2026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'2012 - 2026'!$B$146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'2012 - 2026'!$A$147:$A$158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'2012 - 2026'!$B$147:$B$158</c:f>
              <c:numCache>
                <c:formatCode>\$\ #,##0.00</c:formatCode>
                <c:ptCount val="12"/>
                <c:pt idx="0">
                  <c:v>34583.31</c:v>
                </c:pt>
                <c:pt idx="1">
                  <c:v>272221.33999999997</c:v>
                </c:pt>
                <c:pt idx="2">
                  <c:v>95367.91</c:v>
                </c:pt>
                <c:pt idx="3">
                  <c:v>46334.09</c:v>
                </c:pt>
                <c:pt idx="4">
                  <c:v>47217.8</c:v>
                </c:pt>
                <c:pt idx="5">
                  <c:v>88748.97</c:v>
                </c:pt>
                <c:pt idx="6">
                  <c:v>292765.59999999998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558721.08000000007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494-4D2F-9151-396927A729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shape val="box"/>
        <c:axId val="10"/>
        <c:axId val="100"/>
        <c:axId val="1000"/>
      </c:bar3D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\$\ #,##0.00" sourceLinked="1"/>
        <c:majorTickMark val="none"/>
        <c:minorTickMark val="none"/>
        <c:tickLblPos val="nextTo"/>
        <c:crossAx val="10"/>
        <c:crosses val="autoZero"/>
        <c:crossBetween val="between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 sz="1200" b="1">
                <a:latin typeface="Calibri"/>
              </a:defRPr>
            </a:pPr>
            <a:r>
              <a:rPr lang="es-PE"/>
              <a:t>Evolución OC Mensual Minería 2026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'2012 - 2026'!$C$146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'2012 - 2026'!$A$147:$A$158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'2012 - 2026'!$C$147:$C$158</c:f>
              <c:numCache>
                <c:formatCode>\$\ #,##0.00</c:formatCode>
                <c:ptCount val="12"/>
                <c:pt idx="0">
                  <c:v>32020.17</c:v>
                </c:pt>
                <c:pt idx="1">
                  <c:v>78565.289999999994</c:v>
                </c:pt>
                <c:pt idx="2">
                  <c:v>88547.91</c:v>
                </c:pt>
                <c:pt idx="3">
                  <c:v>36334.089999999997</c:v>
                </c:pt>
                <c:pt idx="4">
                  <c:v>45797.8</c:v>
                </c:pt>
                <c:pt idx="5">
                  <c:v>66020.17</c:v>
                </c:pt>
                <c:pt idx="6">
                  <c:v>273434.59999999998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523371.08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4DA-487B-BEF1-B66E111FA8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shape val="box"/>
        <c:axId val="10"/>
        <c:axId val="100"/>
        <c:axId val="1000"/>
      </c:bar3D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\$\ #,##0.00" sourceLinked="1"/>
        <c:majorTickMark val="none"/>
        <c:minorTickMark val="none"/>
        <c:tickLblPos val="nextTo"/>
        <c:crossAx val="10"/>
        <c:crosses val="autoZero"/>
        <c:crossBetween val="between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 sz="1200" b="1">
                <a:latin typeface="Calibri"/>
              </a:defRPr>
            </a:pPr>
            <a:r>
              <a:rPr lang="es-PE"/>
              <a:t>Evolución OC Mensual Industria 2026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'2012 - 2026'!$D$146</c:f>
              <c:strCache>
                <c:ptCount val="1"/>
                <c:pt idx="0">
                  <c:v>IND</c:v>
                </c:pt>
              </c:strCache>
            </c:strRef>
          </c:tx>
          <c:spPr>
            <a:solidFill>
              <a:srgbClr val="8FAADC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'2012 - 2026'!$A$147:$A$158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'2012 - 2026'!$D$147:$D$158</c:f>
              <c:numCache>
                <c:formatCode>\$\ #,##0.00</c:formatCode>
                <c:ptCount val="12"/>
                <c:pt idx="0">
                  <c:v>2563.14</c:v>
                </c:pt>
                <c:pt idx="1">
                  <c:v>23056.05</c:v>
                </c:pt>
                <c:pt idx="2">
                  <c:v>2180</c:v>
                </c:pt>
                <c:pt idx="3">
                  <c:v>10000</c:v>
                </c:pt>
                <c:pt idx="4">
                  <c:v>0</c:v>
                </c:pt>
                <c:pt idx="5">
                  <c:v>880</c:v>
                </c:pt>
                <c:pt idx="6">
                  <c:v>16251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3300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852-4E3B-88F1-56DC1CDA2C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shape val="box"/>
        <c:axId val="10"/>
        <c:axId val="100"/>
        <c:axId val="1000"/>
      </c:bar3D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\$\ #,##0.00" sourceLinked="1"/>
        <c:majorTickMark val="none"/>
        <c:minorTickMark val="none"/>
        <c:tickLblPos val="nextTo"/>
        <c:crossAx val="10"/>
        <c:crosses val="autoZero"/>
        <c:crossBetween val="between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 sz="1200" b="1">
                <a:latin typeface="Calibri"/>
              </a:defRPr>
            </a:pPr>
            <a:r>
              <a:rPr lang="es-PE"/>
              <a:t>Evolución OC Mensual Petroquímica 2026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'2012 - 2026'!$E$146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rgbClr val="8064A2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'2012 - 2026'!$A$147:$A$158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'2012 - 2026'!$E$147:$E$158</c:f>
              <c:numCache>
                <c:formatCode>\$\ #,##0.00</c:formatCode>
                <c:ptCount val="12"/>
                <c:pt idx="0">
                  <c:v>0</c:v>
                </c:pt>
                <c:pt idx="1">
                  <c:v>170600</c:v>
                </c:pt>
                <c:pt idx="2">
                  <c:v>4640</c:v>
                </c:pt>
                <c:pt idx="3">
                  <c:v>0</c:v>
                </c:pt>
                <c:pt idx="4">
                  <c:v>1420</c:v>
                </c:pt>
                <c:pt idx="5">
                  <c:v>21848.799999999999</c:v>
                </c:pt>
                <c:pt idx="6">
                  <c:v>3080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32050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E27-4611-9074-077939EC9F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shape val="box"/>
        <c:axId val="10"/>
        <c:axId val="100"/>
        <c:axId val="1000"/>
      </c:bar3D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\$\ #,##0.00" sourceLinked="1"/>
        <c:majorTickMark val="none"/>
        <c:minorTickMark val="none"/>
        <c:tickLblPos val="nextTo"/>
        <c:crossAx val="10"/>
        <c:crosses val="autoZero"/>
        <c:crossBetween val="between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 sz="1200" b="1">
                <a:latin typeface="Calibri"/>
              </a:defRPr>
            </a:pPr>
            <a:r>
              <a:rPr lang="es-PE"/>
              <a:t>Evolución OC Mensual Safety 2026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'2012 - 2026'!$F$146</c:f>
              <c:strCache>
                <c:ptCount val="1"/>
                <c:pt idx="0">
                  <c:v>SFY</c:v>
                </c:pt>
              </c:strCache>
            </c:strRef>
          </c:tx>
          <c:spPr>
            <a:solidFill>
              <a:srgbClr val="C0504D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'2012 - 2026'!$A$147:$A$158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'2012 - 2026'!$F$147:$F$158</c:f>
              <c:numCache>
                <c:formatCode>\$\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9FE-48CE-A8AE-8D26E0341C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shape val="box"/>
        <c:axId val="10"/>
        <c:axId val="100"/>
        <c:axId val="1000"/>
      </c:bar3D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\$\ #,##0.00" sourceLinked="1"/>
        <c:majorTickMark val="none"/>
        <c:minorTickMark val="none"/>
        <c:tickLblPos val="nextTo"/>
        <c:crossAx val="10"/>
        <c:crosses val="autoZero"/>
        <c:crossBetween val="between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 sz="1200" b="1">
                <a:latin typeface="Calibri"/>
              </a:defRPr>
            </a:pPr>
            <a:r>
              <a:rPr lang="es-PE"/>
              <a:t>Monto Logrado por Año HH+UTILIDAD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Objetivos!$M$2</c:f>
              <c:strCache>
                <c:ptCount val="1"/>
                <c:pt idx="0">
                  <c:v>Logrado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Objetivos!$L$3:$L$15</c:f>
              <c:numCache>
                <c:formatCode>General</c:formatCod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numCache>
            </c:numRef>
          </c:cat>
          <c:val>
            <c:numRef>
              <c:f>Objetivos!$M$3:$M$15</c:f>
              <c:numCache>
                <c:formatCode>\$\ #,##0.00</c:formatCode>
                <c:ptCount val="13"/>
                <c:pt idx="0">
                  <c:v>599213.68999999994</c:v>
                </c:pt>
                <c:pt idx="1">
                  <c:v>791852.48</c:v>
                </c:pt>
                <c:pt idx="2">
                  <c:v>546600.85</c:v>
                </c:pt>
                <c:pt idx="3">
                  <c:v>586456.22</c:v>
                </c:pt>
                <c:pt idx="4">
                  <c:v>815521.11</c:v>
                </c:pt>
                <c:pt idx="5">
                  <c:v>706732.22</c:v>
                </c:pt>
                <c:pt idx="6">
                  <c:v>820464.89</c:v>
                </c:pt>
                <c:pt idx="7">
                  <c:v>475934.45</c:v>
                </c:pt>
                <c:pt idx="8">
                  <c:v>764082.81</c:v>
                </c:pt>
                <c:pt idx="9">
                  <c:v>832552.59</c:v>
                </c:pt>
                <c:pt idx="10">
                  <c:v>865726.08</c:v>
                </c:pt>
                <c:pt idx="11">
                  <c:v>787520.06</c:v>
                </c:pt>
                <c:pt idx="12">
                  <c:v>628636.97072534601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8E8-4454-9B71-398814D29B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shape val="box"/>
        <c:axId val="10"/>
        <c:axId val="100"/>
        <c:axId val="1000"/>
      </c:bar3D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\$\ #,##0.00" sourceLinked="1"/>
        <c:majorTickMark val="none"/>
        <c:minorTickMark val="none"/>
        <c:tickLblPos val="nextTo"/>
        <c:crossAx val="10"/>
        <c:crosses val="autoZero"/>
        <c:crossBetween val="between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 sz="1200" b="1">
                <a:latin typeface="Calibri"/>
              </a:defRPr>
            </a:pPr>
            <a:r>
              <a:rPr lang="es-PE"/>
              <a:t>Avance objetivo Máximo al Mes en curso (8/12)</a:t>
            </a:r>
          </a:p>
        </c:rich>
      </c:tx>
      <c:layout/>
      <c:overlay val="0"/>
    </c:title>
    <c:autoTitleDeleted val="0"/>
    <c:view3D>
      <c:rotX val="10"/>
      <c:rotY val="40"/>
      <c:depthPercent val="13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1"/>
        <c:ser>
          <c:idx val="0"/>
          <c:order val="0"/>
          <c:tx>
            <c:strRef>
              <c:f>Objetivos!$B$14</c:f>
              <c:strCache>
                <c:ptCount val="1"/>
                <c:pt idx="0">
                  <c:v>Avance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9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A15-4ED5-90A6-7F04C4443869}"/>
              </c:ext>
            </c:extLst>
          </c:dPt>
          <c:dPt>
            <c:idx val="1"/>
            <c:invertIfNegative val="1"/>
            <c:bubble3D val="0"/>
            <c:spPr>
              <a:solidFill>
                <a:srgbClr val="FCE4D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A15-4ED5-90A6-7F04C4443869}"/>
              </c:ext>
            </c:extLst>
          </c:dPt>
          <c:dPt>
            <c:idx val="2"/>
            <c:invertIfNegative val="1"/>
            <c:bubble3D val="0"/>
            <c:spPr>
              <a:solidFill>
                <a:srgbClr val="E0F7F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A15-4ED5-90A6-7F04C4443869}"/>
              </c:ext>
            </c:extLst>
          </c:dPt>
          <c:dPt>
            <c:idx val="3"/>
            <c:invertIfNegative val="1"/>
            <c:bubble3D val="0"/>
            <c:spPr>
              <a:solidFill>
                <a:srgbClr val="E2D5F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A15-4ED5-90A6-7F04C4443869}"/>
              </c:ext>
            </c:extLst>
          </c:dPt>
          <c:dPt>
            <c:idx val="4"/>
            <c:invertIfNegative val="1"/>
            <c:bubble3D val="0"/>
            <c:spPr>
              <a:solidFill>
                <a:srgbClr val="C6E0B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A15-4ED5-90A6-7F04C444386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Objetivos!$A$15:$A$19</c:f>
              <c:strCache>
                <c:ptCount val="5"/>
                <c:pt idx="0">
                  <c:v>MIN</c:v>
                </c:pt>
                <c:pt idx="1">
                  <c:v>IND</c:v>
                </c:pt>
                <c:pt idx="2">
                  <c:v>OIL</c:v>
                </c:pt>
                <c:pt idx="3">
                  <c:v>SFY</c:v>
                </c:pt>
                <c:pt idx="4">
                  <c:v>V&amp;C</c:v>
                </c:pt>
              </c:strCache>
            </c:strRef>
          </c:cat>
          <c:val>
            <c:numRef>
              <c:f>Objetivos!$B$15:$B$19</c:f>
              <c:numCache>
                <c:formatCode>0.0%</c:formatCode>
                <c:ptCount val="5"/>
                <c:pt idx="0">
                  <c:v>1.044953376</c:v>
                </c:pt>
                <c:pt idx="1">
                  <c:v>8.3481915684988126E-2</c:v>
                </c:pt>
                <c:pt idx="2">
                  <c:v>1.1658882522170524</c:v>
                </c:pt>
                <c:pt idx="3">
                  <c:v>0</c:v>
                </c:pt>
                <c:pt idx="4">
                  <c:v>0.78253564820582477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A15-4ED5-90A6-7F04C4443869}"/>
            </c:ext>
          </c:extLst>
        </c:ser>
        <c:ser>
          <c:idx val="1"/>
          <c:order val="1"/>
          <c:tx>
            <c:strRef>
              <c:f>Objetivos!$C$14</c:f>
              <c:strCache>
                <c:ptCount val="1"/>
                <c:pt idx="0">
                  <c:v>Faltante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5A15-4ED5-90A6-7F04C4443869}"/>
              </c:ext>
            </c:extLst>
          </c:dPt>
          <c:dPt>
            <c:idx val="1"/>
            <c:invertIfNegative val="1"/>
            <c:bubble3D val="0"/>
            <c:spPr>
              <a:solidFill>
                <a:srgbClr val="F8B17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5A15-4ED5-90A6-7F04C4443869}"/>
              </c:ext>
            </c:extLst>
          </c:dPt>
          <c:dPt>
            <c:idx val="2"/>
            <c:invertIfNegative val="1"/>
            <c:bubble3D val="0"/>
            <c:spPr>
              <a:solidFill>
                <a:srgbClr val="00DFD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5A15-4ED5-90A6-7F04C4443869}"/>
              </c:ext>
            </c:extLst>
          </c:dPt>
          <c:dPt>
            <c:idx val="3"/>
            <c:invertIfNegative val="1"/>
            <c:bubble3D val="0"/>
            <c:spPr>
              <a:solidFill>
                <a:srgbClr val="B19CD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5A15-4ED5-90A6-7F04C4443869}"/>
              </c:ext>
            </c:extLst>
          </c:dPt>
          <c:dPt>
            <c:idx val="4"/>
            <c:invertIfNegative val="1"/>
            <c:bubble3D val="0"/>
            <c:spPr>
              <a:solidFill>
                <a:srgbClr val="93C58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5A15-4ED5-90A6-7F04C444386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Objetivos!$A$15:$A$19</c:f>
              <c:strCache>
                <c:ptCount val="5"/>
                <c:pt idx="0">
                  <c:v>MIN</c:v>
                </c:pt>
                <c:pt idx="1">
                  <c:v>IND</c:v>
                </c:pt>
                <c:pt idx="2">
                  <c:v>OIL</c:v>
                </c:pt>
                <c:pt idx="3">
                  <c:v>SFY</c:v>
                </c:pt>
                <c:pt idx="4">
                  <c:v>V&amp;C</c:v>
                </c:pt>
              </c:strCache>
            </c:strRef>
          </c:cat>
          <c:val>
            <c:numRef>
              <c:f>Objetivos!$C$15:$C$19</c:f>
              <c:numCache>
                <c:formatCode>0.0%</c:formatCode>
                <c:ptCount val="5"/>
                <c:pt idx="0">
                  <c:v>0</c:v>
                </c:pt>
                <c:pt idx="1">
                  <c:v>0.91651808431501192</c:v>
                </c:pt>
                <c:pt idx="2">
                  <c:v>0</c:v>
                </c:pt>
                <c:pt idx="3">
                  <c:v>1</c:v>
                </c:pt>
                <c:pt idx="4">
                  <c:v>0.21746435179417523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A15-4ED5-90A6-7F04C44438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shape val="cylinder"/>
        <c:axId val="10"/>
        <c:axId val="100"/>
        <c:axId val="1000"/>
      </c:bar3D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 sz="1200" b="1">
                <a:latin typeface="Calibri"/>
              </a:defRPr>
            </a:pPr>
            <a:r>
              <a:rPr lang="es-PE"/>
              <a:t>Avance objetivo Mínimo al Mes en curso (8/12)</a:t>
            </a:r>
          </a:p>
        </c:rich>
      </c:tx>
      <c:layout/>
      <c:overlay val="0"/>
    </c:title>
    <c:autoTitleDeleted val="0"/>
    <c:view3D>
      <c:rotX val="10"/>
      <c:rotY val="40"/>
      <c:depthPercent val="13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1"/>
        <c:ser>
          <c:idx val="0"/>
          <c:order val="0"/>
          <c:tx>
            <c:strRef>
              <c:f>Objetivos!$D$14</c:f>
              <c:strCache>
                <c:ptCount val="1"/>
                <c:pt idx="0">
                  <c:v>Avance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9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AB6-4680-A7F1-F5D7E584D101}"/>
              </c:ext>
            </c:extLst>
          </c:dPt>
          <c:dPt>
            <c:idx val="1"/>
            <c:invertIfNegative val="1"/>
            <c:bubble3D val="0"/>
            <c:spPr>
              <a:solidFill>
                <a:srgbClr val="FCE4D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AB6-4680-A7F1-F5D7E584D101}"/>
              </c:ext>
            </c:extLst>
          </c:dPt>
          <c:dPt>
            <c:idx val="2"/>
            <c:invertIfNegative val="1"/>
            <c:bubble3D val="0"/>
            <c:spPr>
              <a:solidFill>
                <a:srgbClr val="E0F7F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AB6-4680-A7F1-F5D7E584D101}"/>
              </c:ext>
            </c:extLst>
          </c:dPt>
          <c:dPt>
            <c:idx val="3"/>
            <c:invertIfNegative val="1"/>
            <c:bubble3D val="0"/>
            <c:spPr>
              <a:solidFill>
                <a:srgbClr val="E2D5F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AB6-4680-A7F1-F5D7E584D101}"/>
              </c:ext>
            </c:extLst>
          </c:dPt>
          <c:dPt>
            <c:idx val="4"/>
            <c:invertIfNegative val="1"/>
            <c:bubble3D val="0"/>
            <c:spPr>
              <a:solidFill>
                <a:srgbClr val="C6E0B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AB6-4680-A7F1-F5D7E584D10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Objetivos!$A$15:$A$19</c:f>
              <c:strCache>
                <c:ptCount val="5"/>
                <c:pt idx="0">
                  <c:v>MIN</c:v>
                </c:pt>
                <c:pt idx="1">
                  <c:v>IND</c:v>
                </c:pt>
                <c:pt idx="2">
                  <c:v>OIL</c:v>
                </c:pt>
                <c:pt idx="3">
                  <c:v>SFY</c:v>
                </c:pt>
                <c:pt idx="4">
                  <c:v>V&amp;C</c:v>
                </c:pt>
              </c:strCache>
            </c:strRef>
          </c:cat>
          <c:val>
            <c:numRef>
              <c:f>Objetivos!$D$15:$D$19</c:f>
              <c:numCache>
                <c:formatCode>0.0%</c:formatCode>
                <c:ptCount val="5"/>
                <c:pt idx="0">
                  <c:v>1.061944487804878</c:v>
                </c:pt>
                <c:pt idx="1">
                  <c:v>8.6821192312387649E-2</c:v>
                </c:pt>
                <c:pt idx="2">
                  <c:v>1.2188831727723732</c:v>
                </c:pt>
                <c:pt idx="3">
                  <c:v>0</c:v>
                </c:pt>
                <c:pt idx="4">
                  <c:v>0.80940382496825658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B6-4680-A7F1-F5D7E584D101}"/>
            </c:ext>
          </c:extLst>
        </c:ser>
        <c:ser>
          <c:idx val="1"/>
          <c:order val="1"/>
          <c:tx>
            <c:strRef>
              <c:f>Objetivos!$E$14</c:f>
              <c:strCache>
                <c:ptCount val="1"/>
                <c:pt idx="0">
                  <c:v>Faltante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1AB6-4680-A7F1-F5D7E584D101}"/>
              </c:ext>
            </c:extLst>
          </c:dPt>
          <c:dPt>
            <c:idx val="1"/>
            <c:invertIfNegative val="1"/>
            <c:bubble3D val="0"/>
            <c:spPr>
              <a:solidFill>
                <a:srgbClr val="F8B17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1AB6-4680-A7F1-F5D7E584D101}"/>
              </c:ext>
            </c:extLst>
          </c:dPt>
          <c:dPt>
            <c:idx val="2"/>
            <c:invertIfNegative val="1"/>
            <c:bubble3D val="0"/>
            <c:spPr>
              <a:solidFill>
                <a:srgbClr val="00DFD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1AB6-4680-A7F1-F5D7E584D101}"/>
              </c:ext>
            </c:extLst>
          </c:dPt>
          <c:dPt>
            <c:idx val="3"/>
            <c:invertIfNegative val="1"/>
            <c:bubble3D val="0"/>
            <c:spPr>
              <a:solidFill>
                <a:srgbClr val="B19CD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1AB6-4680-A7F1-F5D7E584D101}"/>
              </c:ext>
            </c:extLst>
          </c:dPt>
          <c:dPt>
            <c:idx val="4"/>
            <c:invertIfNegative val="1"/>
            <c:bubble3D val="0"/>
            <c:spPr>
              <a:solidFill>
                <a:srgbClr val="93C58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1AB6-4680-A7F1-F5D7E584D10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Objetivos!$A$15:$A$19</c:f>
              <c:strCache>
                <c:ptCount val="5"/>
                <c:pt idx="0">
                  <c:v>MIN</c:v>
                </c:pt>
                <c:pt idx="1">
                  <c:v>IND</c:v>
                </c:pt>
                <c:pt idx="2">
                  <c:v>OIL</c:v>
                </c:pt>
                <c:pt idx="3">
                  <c:v>SFY</c:v>
                </c:pt>
                <c:pt idx="4">
                  <c:v>V&amp;C</c:v>
                </c:pt>
              </c:strCache>
            </c:strRef>
          </c:cat>
          <c:val>
            <c:numRef>
              <c:f>Objetivos!$E$15:$E$19</c:f>
              <c:numCache>
                <c:formatCode>0.0%</c:formatCode>
                <c:ptCount val="5"/>
                <c:pt idx="0">
                  <c:v>0</c:v>
                </c:pt>
                <c:pt idx="1">
                  <c:v>0.91317880768761239</c:v>
                </c:pt>
                <c:pt idx="2">
                  <c:v>0</c:v>
                </c:pt>
                <c:pt idx="3">
                  <c:v>1</c:v>
                </c:pt>
                <c:pt idx="4">
                  <c:v>0.19059617503174342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AB6-4680-A7F1-F5D7E584D1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shape val="cylinder"/>
        <c:axId val="10"/>
        <c:axId val="100"/>
        <c:axId val="1000"/>
      </c:bar3D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 sz="1100" b="1">
                <a:latin typeface="Calibri"/>
              </a:defRPr>
            </a:pPr>
            <a:r>
              <a:rPr lang="es-PE"/>
              <a:t>AVANCE CON RESPECTO AL MÍNIMO ANUAL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0.08"/>
          <c:y val="0.1"/>
          <c:w val="0.84"/>
          <c:h val="0.72"/>
        </c:manualLayout>
      </c:layout>
      <c:pie3D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3757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AE-4FAC-A9A3-68CD8290F3B7}"/>
              </c:ext>
            </c:extLst>
          </c:dPt>
          <c:dPt>
            <c:idx val="1"/>
            <c:bubble3D val="0"/>
            <c:spPr>
              <a:solidFill>
                <a:srgbClr val="E2E8F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0AE-4FAC-A9A3-68CD8290F3B7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Objetivos!$C$39:$D$39</c:f>
              <c:strCache>
                <c:ptCount val="2"/>
                <c:pt idx="0">
                  <c:v>Avance</c:v>
                </c:pt>
                <c:pt idx="1">
                  <c:v>Faltante</c:v>
                </c:pt>
              </c:strCache>
            </c:strRef>
          </c:cat>
          <c:val>
            <c:numRef>
              <c:f>Objetivos!$C$40:$D$40</c:f>
              <c:numCache>
                <c:formatCode>0%</c:formatCode>
                <c:ptCount val="2"/>
                <c:pt idx="0">
                  <c:v>0.53960254997883772</c:v>
                </c:pt>
                <c:pt idx="1">
                  <c:v>0.46039745002116228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AE-4FAC-A9A3-68CD8290F3B7}"/>
            </c:ext>
          </c:extLst>
        </c:ser>
        <c:dLbls>
          <c:showLegendKey val="1"/>
          <c:showVal val="1"/>
          <c:showCatName val="0"/>
          <c:showSerName val="0"/>
          <c:showPercent val="0"/>
          <c:showBubbleSize val="1"/>
          <c:showLeaderLines val="1"/>
        </c:dLbls>
      </c:pie3DChart>
    </c:plotArea>
    <c:legend>
      <c:legendPos val="b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 sz="1100" b="1">
                <a:latin typeface="Calibri"/>
              </a:defRPr>
            </a:pPr>
            <a:r>
              <a:rPr lang="es-PE"/>
              <a:t>AVANCE CON RESPECTO AL MÁXIMO ANUAL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0.08"/>
          <c:y val="0.1"/>
          <c:w val="0.84"/>
          <c:h val="0.72"/>
        </c:manualLayout>
      </c:layout>
      <c:pie3D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3757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444-4FB6-9124-6C8E1A061540}"/>
              </c:ext>
            </c:extLst>
          </c:dPt>
          <c:dPt>
            <c:idx val="1"/>
            <c:bubble3D val="0"/>
            <c:spPr>
              <a:solidFill>
                <a:srgbClr val="E2E8F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444-4FB6-9124-6C8E1A06154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Objetivos!$C$39:$D$39</c:f>
              <c:strCache>
                <c:ptCount val="2"/>
                <c:pt idx="0">
                  <c:v>Avance</c:v>
                </c:pt>
                <c:pt idx="1">
                  <c:v>Faltante</c:v>
                </c:pt>
              </c:strCache>
            </c:strRef>
          </c:cat>
          <c:val>
            <c:numRef>
              <c:f>Objetivos!$C$41:$D$41</c:f>
              <c:numCache>
                <c:formatCode>0%</c:formatCode>
                <c:ptCount val="2"/>
                <c:pt idx="0">
                  <c:v>0.52169043213721655</c:v>
                </c:pt>
                <c:pt idx="1">
                  <c:v>0.47830956786278345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44-4FB6-9124-6C8E1A061540}"/>
            </c:ext>
          </c:extLst>
        </c:ser>
        <c:dLbls>
          <c:showLegendKey val="1"/>
          <c:showVal val="1"/>
          <c:showCatName val="0"/>
          <c:showSerName val="0"/>
          <c:showPercent val="0"/>
          <c:showBubbleSize val="1"/>
          <c:showLeaderLines val="1"/>
        </c:dLbls>
      </c:pie3DChart>
    </c:plotArea>
    <c:legend>
      <c:legendPos val="b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 sz="1200" b="1">
                <a:latin typeface="Calibri"/>
              </a:defRPr>
            </a:pPr>
            <a:r>
              <a:t>Seguimiento Objetivo Comercial</a:t>
            </a:r>
          </a:p>
        </c:rich>
      </c:tx>
      <c:overlay val="0"/>
    </c:title>
    <c:autoTitleDeleted val="0"/>
    <c:view3D>
      <c:rotX val="10"/>
      <c:rotY val="40"/>
      <c:depthPercent val="13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'Objetivos Com.'!$C$29</c:f>
              <c:strCache>
                <c:ptCount val="1"/>
                <c:pt idx="0">
                  <c:v>Cuota Comercial</c:v>
                </c:pt>
              </c:strCache>
            </c:strRef>
          </c:tx>
          <c:spPr>
            <a:solidFill>
              <a:srgbClr val="8FAADC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'Objetivos Com.'!$B$30:$B$33</c:f>
              <c:strCache>
                <c:ptCount val="4"/>
                <c:pt idx="0">
                  <c:v>Minería</c:v>
                </c:pt>
                <c:pt idx="1">
                  <c:v>Industria</c:v>
                </c:pt>
                <c:pt idx="2">
                  <c:v>Petroquímica</c:v>
                </c:pt>
                <c:pt idx="3">
                  <c:v>Safety</c:v>
                </c:pt>
              </c:strCache>
            </c:strRef>
          </c:cat>
          <c:val>
            <c:numRef>
              <c:f>'Objetivos Com.'!$C$30:$C$33</c:f>
              <c:numCache>
                <c:formatCode>\$\ #,##0.00</c:formatCode>
                <c:ptCount val="4"/>
                <c:pt idx="0">
                  <c:v>625000</c:v>
                </c:pt>
                <c:pt idx="1">
                  <c:v>260000</c:v>
                </c:pt>
                <c:pt idx="2">
                  <c:v>230000</c:v>
                </c:pt>
                <c:pt idx="3">
                  <c:v>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C6F-4FD4-91B3-B30D1EED5F4A}"/>
            </c:ext>
          </c:extLst>
        </c:ser>
        <c:ser>
          <c:idx val="1"/>
          <c:order val="1"/>
          <c:tx>
            <c:strRef>
              <c:f>'Objetivos Com.'!$D$29</c:f>
              <c:strCache>
                <c:ptCount val="1"/>
                <c:pt idx="0">
                  <c:v>Conseguido</c:v>
                </c:pt>
              </c:strCache>
            </c:strRef>
          </c:tx>
          <c:spPr>
            <a:solidFill>
              <a:srgbClr val="237573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'Objetivos Com.'!$B$30:$B$33</c:f>
              <c:strCache>
                <c:ptCount val="4"/>
                <c:pt idx="0">
                  <c:v>Minería</c:v>
                </c:pt>
                <c:pt idx="1">
                  <c:v>Industria</c:v>
                </c:pt>
                <c:pt idx="2">
                  <c:v>Petroquímica</c:v>
                </c:pt>
                <c:pt idx="3">
                  <c:v>Safety</c:v>
                </c:pt>
              </c:strCache>
            </c:strRef>
          </c:cat>
          <c:val>
            <c:numRef>
              <c:f>'Objetivos Com.'!$D$30:$D$33</c:f>
              <c:numCache>
                <c:formatCode>\$\ #,##0.00</c:formatCode>
                <c:ptCount val="4"/>
                <c:pt idx="0">
                  <c:v>435397.24</c:v>
                </c:pt>
                <c:pt idx="1">
                  <c:v>14470.198718731273</c:v>
                </c:pt>
                <c:pt idx="2">
                  <c:v>178769.53200661473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C6F-4FD4-91B3-B30D1EED5F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shape val="box"/>
        <c:axId val="10"/>
        <c:axId val="100"/>
        <c:axId val="1000"/>
      </c:bar3D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\$\ #,##0.00" sourceLinked="1"/>
        <c:majorTickMark val="none"/>
        <c:minorTickMark val="none"/>
        <c:tickLblPos val="nextTo"/>
        <c:crossAx val="10"/>
        <c:crosses val="autoZero"/>
        <c:crossBetween val="between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</c:plotArea>
    <c:legend>
      <c:legendPos val="t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13" Type="http://schemas.openxmlformats.org/officeDocument/2006/relationships/chart" Target="../charts/chart22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12" Type="http://schemas.openxmlformats.org/officeDocument/2006/relationships/chart" Target="../charts/chart21.xml"/><Relationship Id="rId2" Type="http://schemas.openxmlformats.org/officeDocument/2006/relationships/chart" Target="../charts/chart11.xml"/><Relationship Id="rId16" Type="http://schemas.openxmlformats.org/officeDocument/2006/relationships/chart" Target="../charts/chart25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11" Type="http://schemas.openxmlformats.org/officeDocument/2006/relationships/chart" Target="../charts/chart20.xml"/><Relationship Id="rId5" Type="http://schemas.openxmlformats.org/officeDocument/2006/relationships/chart" Target="../charts/chart14.xml"/><Relationship Id="rId15" Type="http://schemas.openxmlformats.org/officeDocument/2006/relationships/chart" Target="../charts/chart24.xml"/><Relationship Id="rId10" Type="http://schemas.openxmlformats.org/officeDocument/2006/relationships/chart" Target="../charts/chart19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Relationship Id="rId14" Type="http://schemas.openxmlformats.org/officeDocument/2006/relationships/chart" Target="../charts/chart2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1</xdr:row>
      <xdr:rowOff>0</xdr:rowOff>
    </xdr:from>
    <xdr:ext cx="8784000" cy="4463999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33</xdr:col>
      <xdr:colOff>0</xdr:colOff>
      <xdr:row>1</xdr:row>
      <xdr:rowOff>0</xdr:rowOff>
    </xdr:from>
    <xdr:ext cx="6516000" cy="414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27</xdr:row>
      <xdr:rowOff>0</xdr:rowOff>
    </xdr:from>
    <xdr:ext cx="5760000" cy="396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1</xdr:row>
      <xdr:rowOff>0</xdr:rowOff>
    </xdr:from>
    <xdr:ext cx="6480000" cy="39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29</xdr:col>
      <xdr:colOff>0</xdr:colOff>
      <xdr:row>1</xdr:row>
      <xdr:rowOff>0</xdr:rowOff>
    </xdr:from>
    <xdr:ext cx="6120000" cy="396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25</xdr:row>
      <xdr:rowOff>0</xdr:rowOff>
    </xdr:from>
    <xdr:ext cx="5760000" cy="396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1</xdr:row>
      <xdr:rowOff>0</xdr:rowOff>
    </xdr:from>
    <xdr:ext cx="6480000" cy="39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29</xdr:col>
      <xdr:colOff>0</xdr:colOff>
      <xdr:row>1</xdr:row>
      <xdr:rowOff>0</xdr:rowOff>
    </xdr:from>
    <xdr:ext cx="6120000" cy="396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25</xdr:row>
      <xdr:rowOff>0</xdr:rowOff>
    </xdr:from>
    <xdr:ext cx="5760000" cy="396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3060000" cy="324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0</xdr:colOff>
      <xdr:row>1</xdr:row>
      <xdr:rowOff>0</xdr:rowOff>
    </xdr:from>
    <xdr:ext cx="9648000" cy="396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31</xdr:col>
      <xdr:colOff>0</xdr:colOff>
      <xdr:row>1</xdr:row>
      <xdr:rowOff>0</xdr:rowOff>
    </xdr:from>
    <xdr:ext cx="9648000" cy="396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15</xdr:col>
      <xdr:colOff>0</xdr:colOff>
      <xdr:row>25</xdr:row>
      <xdr:rowOff>0</xdr:rowOff>
    </xdr:from>
    <xdr:ext cx="7632000" cy="3243600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29</xdr:col>
      <xdr:colOff>0</xdr:colOff>
      <xdr:row>25</xdr:row>
      <xdr:rowOff>0</xdr:rowOff>
    </xdr:from>
    <xdr:ext cx="12142799" cy="5130000"/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15</xdr:col>
      <xdr:colOff>0</xdr:colOff>
      <xdr:row>55</xdr:row>
      <xdr:rowOff>0</xdr:rowOff>
    </xdr:from>
    <xdr:ext cx="7632000" cy="3243600"/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29</xdr:col>
      <xdr:colOff>0</xdr:colOff>
      <xdr:row>55</xdr:row>
      <xdr:rowOff>0</xdr:rowOff>
    </xdr:from>
    <xdr:ext cx="12142799" cy="5130000"/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15</xdr:col>
      <xdr:colOff>0</xdr:colOff>
      <xdr:row>85</xdr:row>
      <xdr:rowOff>0</xdr:rowOff>
    </xdr:from>
    <xdr:ext cx="7632000" cy="3243600"/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29</xdr:col>
      <xdr:colOff>0</xdr:colOff>
      <xdr:row>85</xdr:row>
      <xdr:rowOff>0</xdr:rowOff>
    </xdr:from>
    <xdr:ext cx="12142799" cy="5130000"/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15</xdr:col>
      <xdr:colOff>0</xdr:colOff>
      <xdr:row>115</xdr:row>
      <xdr:rowOff>0</xdr:rowOff>
    </xdr:from>
    <xdr:ext cx="7632000" cy="3243600"/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29</xdr:col>
      <xdr:colOff>0</xdr:colOff>
      <xdr:row>115</xdr:row>
      <xdr:rowOff>0</xdr:rowOff>
    </xdr:from>
    <xdr:ext cx="12142799" cy="5130000"/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8</xdr:col>
      <xdr:colOff>0</xdr:colOff>
      <xdr:row>145</xdr:row>
      <xdr:rowOff>0</xdr:rowOff>
    </xdr:from>
    <xdr:ext cx="7632000" cy="3625200"/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166</xdr:row>
      <xdr:rowOff>0</xdr:rowOff>
    </xdr:from>
    <xdr:ext cx="7632000" cy="3625200"/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7</xdr:col>
      <xdr:colOff>0</xdr:colOff>
      <xdr:row>166</xdr:row>
      <xdr:rowOff>0</xdr:rowOff>
    </xdr:from>
    <xdr:ext cx="7632000" cy="3625200"/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14</xdr:col>
      <xdr:colOff>0</xdr:colOff>
      <xdr:row>166</xdr:row>
      <xdr:rowOff>0</xdr:rowOff>
    </xdr:from>
    <xdr:ext cx="7632000" cy="3625200"/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27</xdr:col>
      <xdr:colOff>590550</xdr:colOff>
      <xdr:row>166</xdr:row>
      <xdr:rowOff>9525</xdr:rowOff>
    </xdr:from>
    <xdr:ext cx="7632000" cy="3625200"/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21</xdr:row>
      <xdr:rowOff>0</xdr:rowOff>
    </xdr:from>
    <xdr:ext cx="5400000" cy="27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21</xdr:row>
      <xdr:rowOff>0</xdr:rowOff>
    </xdr:from>
    <xdr:ext cx="5400000" cy="270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38</xdr:row>
      <xdr:rowOff>0</xdr:rowOff>
    </xdr:from>
    <xdr:ext cx="3960000" cy="2700000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9</xdr:col>
      <xdr:colOff>0</xdr:colOff>
      <xdr:row>38</xdr:row>
      <xdr:rowOff>0</xdr:rowOff>
    </xdr:from>
    <xdr:ext cx="3960000" cy="2700000"/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28</xdr:row>
      <xdr:rowOff>0</xdr:rowOff>
    </xdr:from>
    <xdr:ext cx="59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workbookViewId="0">
      <selection sqref="A1:L1"/>
    </sheetView>
  </sheetViews>
  <sheetFormatPr baseColWidth="10" defaultColWidth="9.140625" defaultRowHeight="15" x14ac:dyDescent="0.25"/>
  <cols>
    <col min="1" max="1" width="28" customWidth="1"/>
    <col min="2" max="2" width="36" customWidth="1"/>
    <col min="3" max="3" width="87" customWidth="1"/>
    <col min="4" max="4" width="136" customWidth="1"/>
    <col min="5" max="5" width="14" customWidth="1"/>
    <col min="6" max="6" width="16" customWidth="1"/>
    <col min="7" max="8" width="22" customWidth="1"/>
    <col min="9" max="11" width="18" customWidth="1"/>
    <col min="12" max="12" width="14" customWidth="1"/>
    <col min="13" max="13" width="12" customWidth="1"/>
    <col min="14" max="14" width="36" customWidth="1"/>
    <col min="15" max="16" width="18" customWidth="1"/>
    <col min="17" max="17" width="16" customWidth="1"/>
  </cols>
  <sheetData>
    <row r="1" spans="1:17" x14ac:dyDescent="0.25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7" ht="28.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2"/>
      <c r="N2" s="1" t="s">
        <v>13</v>
      </c>
      <c r="O2" s="1" t="s">
        <v>14</v>
      </c>
      <c r="P2" s="1" t="s">
        <v>15</v>
      </c>
      <c r="Q2" s="2"/>
    </row>
    <row r="3" spans="1:17" x14ac:dyDescent="0.25">
      <c r="A3" s="3" t="s">
        <v>16</v>
      </c>
      <c r="B3" s="3" t="s">
        <v>17</v>
      </c>
      <c r="C3" s="3" t="s">
        <v>18</v>
      </c>
      <c r="D3" s="3" t="s">
        <v>19</v>
      </c>
      <c r="E3" s="4">
        <v>46008</v>
      </c>
      <c r="F3" s="4">
        <v>45908</v>
      </c>
      <c r="G3" s="5">
        <v>521378.4</v>
      </c>
      <c r="H3" s="5">
        <v>228130.1</v>
      </c>
      <c r="I3" s="5">
        <v>237615</v>
      </c>
      <c r="J3" s="5">
        <v>0</v>
      </c>
      <c r="K3" s="5">
        <v>55633.3</v>
      </c>
      <c r="L3" s="3" t="s">
        <v>20</v>
      </c>
      <c r="M3" s="2"/>
      <c r="N3" s="6" t="s">
        <v>17</v>
      </c>
      <c r="O3" s="7">
        <f>SUMIF(B:B,"ANGLO AMERICAN QUELLAVECO S.A.",G:G)</f>
        <v>523040.49000000005</v>
      </c>
      <c r="P3" s="8">
        <f>COUNTIF(B:B,"ANGLO AMERICAN QUELLAVECO S.A.")</f>
        <v>2</v>
      </c>
      <c r="Q3" s="2"/>
    </row>
    <row r="4" spans="1:17" x14ac:dyDescent="0.25">
      <c r="A4" s="9" t="s">
        <v>21</v>
      </c>
      <c r="B4" s="9" t="s">
        <v>22</v>
      </c>
      <c r="C4" s="9" t="s">
        <v>23</v>
      </c>
      <c r="D4" s="9" t="s">
        <v>24</v>
      </c>
      <c r="E4" s="10">
        <v>46020</v>
      </c>
      <c r="F4" s="10">
        <v>46047</v>
      </c>
      <c r="G4" s="11">
        <v>1992.68</v>
      </c>
      <c r="H4" s="11">
        <v>734</v>
      </c>
      <c r="I4" s="11">
        <v>1092</v>
      </c>
      <c r="J4" s="11">
        <v>0</v>
      </c>
      <c r="K4" s="11">
        <v>166.68</v>
      </c>
      <c r="L4" s="9" t="s">
        <v>20</v>
      </c>
      <c r="M4" s="2"/>
      <c r="N4" s="6" t="s">
        <v>25</v>
      </c>
      <c r="O4" s="7">
        <f>SUMIF(B:B,"Compañía Minera Poderosa SA",G:G)</f>
        <v>18140</v>
      </c>
      <c r="P4" s="8">
        <f>COUNTIF(B:B,"Compañía Minera Poderosa SA")</f>
        <v>1</v>
      </c>
      <c r="Q4" s="2"/>
    </row>
    <row r="5" spans="1:17" x14ac:dyDescent="0.25">
      <c r="A5" s="3" t="s">
        <v>26</v>
      </c>
      <c r="B5" s="3" t="s">
        <v>22</v>
      </c>
      <c r="C5" s="3" t="s">
        <v>27</v>
      </c>
      <c r="D5" s="3" t="s">
        <v>28</v>
      </c>
      <c r="E5" s="4">
        <v>46034</v>
      </c>
      <c r="F5" s="4">
        <v>46034</v>
      </c>
      <c r="G5" s="5">
        <v>164.48809523809521</v>
      </c>
      <c r="H5" s="5">
        <v>164.48809523809521</v>
      </c>
      <c r="I5" s="5">
        <v>0</v>
      </c>
      <c r="J5" s="5">
        <v>0</v>
      </c>
      <c r="K5" s="5">
        <v>0</v>
      </c>
      <c r="L5" s="3" t="s">
        <v>20</v>
      </c>
      <c r="M5" s="2"/>
      <c r="N5" s="6" t="s">
        <v>29</v>
      </c>
      <c r="O5" s="7">
        <f>SUMIF(B:B,"MARCOBRE S.A.C.",G:G)</f>
        <v>37528</v>
      </c>
      <c r="P5" s="8">
        <f>COUNTIF(B:B,"MARCOBRE S.A.C.")</f>
        <v>2</v>
      </c>
      <c r="Q5" s="2"/>
    </row>
    <row r="6" spans="1:17" x14ac:dyDescent="0.25">
      <c r="A6" s="9" t="s">
        <v>30</v>
      </c>
      <c r="B6" s="9" t="s">
        <v>31</v>
      </c>
      <c r="C6" s="9" t="s">
        <v>32</v>
      </c>
      <c r="D6" s="9" t="s">
        <v>33</v>
      </c>
      <c r="E6" s="10">
        <v>46048</v>
      </c>
      <c r="F6" s="10">
        <v>46108</v>
      </c>
      <c r="G6" s="11">
        <v>29680</v>
      </c>
      <c r="H6" s="11">
        <v>26500</v>
      </c>
      <c r="I6" s="11">
        <v>0</v>
      </c>
      <c r="J6" s="11">
        <v>0</v>
      </c>
      <c r="K6" s="11">
        <v>3180</v>
      </c>
      <c r="L6" s="9" t="s">
        <v>20</v>
      </c>
      <c r="M6" s="2"/>
      <c r="N6" s="6" t="s">
        <v>34</v>
      </c>
      <c r="O6" s="7">
        <f>SUMIF(B:B,"MINERA LAS BAMBAS S.A.",G:G)</f>
        <v>7915.0400000000009</v>
      </c>
      <c r="P6" s="8">
        <f>COUNTIF(B:B,"MINERA LAS BAMBAS S.A.")</f>
        <v>5</v>
      </c>
      <c r="Q6" s="2"/>
    </row>
    <row r="7" spans="1:17" x14ac:dyDescent="0.25">
      <c r="A7" s="3" t="s">
        <v>35</v>
      </c>
      <c r="B7" s="3" t="s">
        <v>34</v>
      </c>
      <c r="C7" s="3" t="s">
        <v>36</v>
      </c>
      <c r="D7" s="3" t="s">
        <v>37</v>
      </c>
      <c r="E7" s="4">
        <v>46051</v>
      </c>
      <c r="F7" s="4">
        <v>46114</v>
      </c>
      <c r="G7" s="5">
        <v>1787.49</v>
      </c>
      <c r="H7" s="5">
        <v>1191.6600000000001</v>
      </c>
      <c r="I7" s="5">
        <v>0</v>
      </c>
      <c r="J7" s="5">
        <v>0</v>
      </c>
      <c r="K7" s="5">
        <v>595.83000000000004</v>
      </c>
      <c r="L7" s="3" t="s">
        <v>20</v>
      </c>
      <c r="M7" s="2"/>
      <c r="N7" s="6" t="s">
        <v>38</v>
      </c>
      <c r="O7" s="7">
        <f>SUMIF(B:B,"MINERA YANACOCHA",G:G)</f>
        <v>31598</v>
      </c>
      <c r="P7" s="8">
        <f>COUNTIF(B:B,"MINERA YANACOCHA")</f>
        <v>3</v>
      </c>
      <c r="Q7" s="2"/>
    </row>
    <row r="8" spans="1:17" x14ac:dyDescent="0.25">
      <c r="A8" s="9" t="s">
        <v>39</v>
      </c>
      <c r="B8" s="9" t="s">
        <v>40</v>
      </c>
      <c r="C8" s="9" t="s">
        <v>41</v>
      </c>
      <c r="D8" s="9" t="s">
        <v>42</v>
      </c>
      <c r="E8" s="10">
        <v>46055</v>
      </c>
      <c r="F8" s="10">
        <v>46124</v>
      </c>
      <c r="G8" s="11">
        <v>12783.94</v>
      </c>
      <c r="H8" s="11">
        <v>11161.28</v>
      </c>
      <c r="I8" s="11">
        <v>0</v>
      </c>
      <c r="J8" s="11">
        <v>0</v>
      </c>
      <c r="K8" s="11">
        <v>1622.66</v>
      </c>
      <c r="L8" s="9" t="s">
        <v>20</v>
      </c>
      <c r="M8" s="2"/>
      <c r="N8" s="6" t="s">
        <v>22</v>
      </c>
      <c r="O8" s="7">
        <f>SUMIF(B:B,"Precision Peru SA",G:G)</f>
        <v>18225.728095238097</v>
      </c>
      <c r="P8" s="8">
        <f>COUNTIF(B:B,"Precision Peru SA")</f>
        <v>6</v>
      </c>
      <c r="Q8" s="2"/>
    </row>
    <row r="9" spans="1:17" x14ac:dyDescent="0.25">
      <c r="A9" s="3" t="s">
        <v>43</v>
      </c>
      <c r="B9" s="3" t="s">
        <v>40</v>
      </c>
      <c r="C9" s="3" t="s">
        <v>44</v>
      </c>
      <c r="D9" s="3" t="s">
        <v>45</v>
      </c>
      <c r="E9" s="4">
        <v>46056</v>
      </c>
      <c r="F9" s="4">
        <v>46062</v>
      </c>
      <c r="G9" s="5">
        <v>5644.8</v>
      </c>
      <c r="H9" s="5">
        <v>4844</v>
      </c>
      <c r="I9" s="5">
        <v>0</v>
      </c>
      <c r="J9" s="5">
        <v>0</v>
      </c>
      <c r="K9" s="5">
        <v>800.8</v>
      </c>
      <c r="L9" s="3" t="s">
        <v>46</v>
      </c>
      <c r="M9" s="2"/>
      <c r="N9" s="6" t="s">
        <v>31</v>
      </c>
      <c r="O9" s="7">
        <f>SUMIF(B:B,"SHAHUINDO S.A.C.",G:G)</f>
        <v>74200</v>
      </c>
      <c r="P9" s="8">
        <f>COUNTIF(B:B,"SHAHUINDO S.A.C.")</f>
        <v>3</v>
      </c>
      <c r="Q9" s="2"/>
    </row>
    <row r="10" spans="1:17" x14ac:dyDescent="0.25">
      <c r="A10" s="9" t="s">
        <v>47</v>
      </c>
      <c r="B10" s="9" t="s">
        <v>40</v>
      </c>
      <c r="C10" s="9" t="s">
        <v>48</v>
      </c>
      <c r="D10" s="9" t="s">
        <v>49</v>
      </c>
      <c r="E10" s="10">
        <v>46063</v>
      </c>
      <c r="F10" s="10">
        <v>46077</v>
      </c>
      <c r="G10" s="11">
        <v>2272.58</v>
      </c>
      <c r="H10" s="11">
        <v>1976.16</v>
      </c>
      <c r="I10" s="11">
        <v>0</v>
      </c>
      <c r="J10" s="11">
        <v>0</v>
      </c>
      <c r="K10" s="11">
        <v>296.42</v>
      </c>
      <c r="L10" s="9" t="s">
        <v>20</v>
      </c>
      <c r="M10" s="2"/>
      <c r="N10" s="6" t="s">
        <v>40</v>
      </c>
      <c r="O10" s="7">
        <f>SUMIF(B:B,"SOUTHERN PERU COPPER CORPORATION",G:G)</f>
        <v>316454.67</v>
      </c>
      <c r="P10" s="8">
        <f>COUNTIF(B:B,"SOUTHERN PERU COPPER CORPORATION")</f>
        <v>7</v>
      </c>
      <c r="Q10" s="2"/>
    </row>
    <row r="11" spans="1:17" x14ac:dyDescent="0.25">
      <c r="A11" s="3" t="s">
        <v>50</v>
      </c>
      <c r="B11" s="3" t="s">
        <v>38</v>
      </c>
      <c r="C11" s="3" t="s">
        <v>51</v>
      </c>
      <c r="D11" s="3" t="s">
        <v>52</v>
      </c>
      <c r="E11" s="4">
        <v>46069</v>
      </c>
      <c r="F11" s="4">
        <v>46092</v>
      </c>
      <c r="G11" s="5">
        <v>14658</v>
      </c>
      <c r="H11" s="5">
        <v>0</v>
      </c>
      <c r="I11" s="5">
        <v>13230</v>
      </c>
      <c r="J11" s="5">
        <v>0</v>
      </c>
      <c r="K11" s="5">
        <v>1428</v>
      </c>
      <c r="L11" s="3" t="s">
        <v>53</v>
      </c>
      <c r="M11" s="2"/>
      <c r="N11" s="6" t="s">
        <v>54</v>
      </c>
      <c r="O11" s="7">
        <f>SUMIF(B:B,"YURA S.A.",G:G)</f>
        <v>116600.98999999999</v>
      </c>
      <c r="P11" s="8">
        <f>COUNTIF(B:B,"YURA S.A.")</f>
        <v>2</v>
      </c>
      <c r="Q11" s="2"/>
    </row>
    <row r="12" spans="1:17" x14ac:dyDescent="0.25">
      <c r="A12" s="9" t="s">
        <v>55</v>
      </c>
      <c r="B12" s="9" t="s">
        <v>38</v>
      </c>
      <c r="C12" s="9" t="s">
        <v>56</v>
      </c>
      <c r="D12" s="9" t="s">
        <v>57</v>
      </c>
      <c r="E12" s="10">
        <v>46069</v>
      </c>
      <c r="F12" s="10">
        <v>46129</v>
      </c>
      <c r="G12" s="11">
        <v>7260</v>
      </c>
      <c r="H12" s="11">
        <v>0</v>
      </c>
      <c r="I12" s="11">
        <v>6600</v>
      </c>
      <c r="J12" s="11">
        <v>0</v>
      </c>
      <c r="K12" s="11">
        <v>660</v>
      </c>
      <c r="L12" s="9" t="s">
        <v>20</v>
      </c>
      <c r="M12" s="2"/>
      <c r="N12" s="12"/>
      <c r="O12" s="13">
        <f>SUM(G3:G33)</f>
        <v>1143702.9180952383</v>
      </c>
      <c r="P12" s="14">
        <f>COUNTA(A3:A33)</f>
        <v>31</v>
      </c>
      <c r="Q12" s="2"/>
    </row>
    <row r="13" spans="1:17" x14ac:dyDescent="0.25">
      <c r="A13" s="3" t="s">
        <v>58</v>
      </c>
      <c r="B13" s="3" t="s">
        <v>34</v>
      </c>
      <c r="C13" s="3" t="s">
        <v>59</v>
      </c>
      <c r="D13" s="3" t="s">
        <v>60</v>
      </c>
      <c r="E13" s="4">
        <v>46071</v>
      </c>
      <c r="F13" s="4">
        <v>46074</v>
      </c>
      <c r="G13" s="5">
        <v>329.97</v>
      </c>
      <c r="H13" s="5">
        <v>213.81</v>
      </c>
      <c r="I13" s="5">
        <v>0</v>
      </c>
      <c r="J13" s="5">
        <v>0</v>
      </c>
      <c r="K13" s="5">
        <v>116.16</v>
      </c>
      <c r="L13" s="3" t="s">
        <v>46</v>
      </c>
      <c r="M13" s="2"/>
      <c r="N13" s="2"/>
      <c r="O13" s="2"/>
      <c r="P13" s="2"/>
      <c r="Q13" s="2"/>
    </row>
    <row r="14" spans="1:17" x14ac:dyDescent="0.25">
      <c r="A14" s="9" t="s">
        <v>61</v>
      </c>
      <c r="B14" s="9" t="s">
        <v>31</v>
      </c>
      <c r="C14" s="9" t="s">
        <v>62</v>
      </c>
      <c r="D14" s="9" t="s">
        <v>63</v>
      </c>
      <c r="E14" s="10">
        <v>46076</v>
      </c>
      <c r="F14" s="10">
        <v>46136</v>
      </c>
      <c r="G14" s="11">
        <v>35616</v>
      </c>
      <c r="H14" s="11">
        <v>31800</v>
      </c>
      <c r="I14" s="11">
        <v>0</v>
      </c>
      <c r="J14" s="11">
        <v>0</v>
      </c>
      <c r="K14" s="11">
        <v>3816</v>
      </c>
      <c r="L14" s="9" t="s">
        <v>20</v>
      </c>
      <c r="M14" s="2"/>
      <c r="N14" s="15" t="s">
        <v>64</v>
      </c>
      <c r="O14" s="15" t="s">
        <v>65</v>
      </c>
      <c r="P14" s="2"/>
      <c r="Q14" s="2"/>
    </row>
    <row r="15" spans="1:17" x14ac:dyDescent="0.25">
      <c r="A15" s="3" t="s">
        <v>66</v>
      </c>
      <c r="B15" s="3" t="s">
        <v>34</v>
      </c>
      <c r="C15" s="3" t="s">
        <v>67</v>
      </c>
      <c r="D15" s="3" t="s">
        <v>68</v>
      </c>
      <c r="E15" s="4">
        <v>46092</v>
      </c>
      <c r="F15" s="4">
        <v>46127</v>
      </c>
      <c r="G15" s="5">
        <v>1811.15</v>
      </c>
      <c r="H15" s="5">
        <v>1509.29</v>
      </c>
      <c r="I15" s="5">
        <v>0</v>
      </c>
      <c r="J15" s="5">
        <v>0</v>
      </c>
      <c r="K15" s="5">
        <v>301.86</v>
      </c>
      <c r="L15" s="3" t="s">
        <v>46</v>
      </c>
      <c r="M15" s="2"/>
      <c r="N15" s="6" t="s">
        <v>69</v>
      </c>
      <c r="O15" s="7">
        <f>SUM(H3:H33)</f>
        <v>708305.67809523817</v>
      </c>
      <c r="Q15" s="2"/>
    </row>
    <row r="16" spans="1:17" x14ac:dyDescent="0.25">
      <c r="A16" s="9" t="s">
        <v>70</v>
      </c>
      <c r="B16" s="9" t="s">
        <v>22</v>
      </c>
      <c r="C16" s="9" t="s">
        <v>71</v>
      </c>
      <c r="D16" s="9" t="s">
        <v>72</v>
      </c>
      <c r="E16" s="10">
        <v>46104</v>
      </c>
      <c r="F16" s="10">
        <v>46139</v>
      </c>
      <c r="G16" s="11">
        <v>7397.4</v>
      </c>
      <c r="H16" s="11">
        <v>3727</v>
      </c>
      <c r="I16" s="11">
        <v>3409.5</v>
      </c>
      <c r="J16" s="11">
        <v>0</v>
      </c>
      <c r="K16" s="11">
        <v>260.89999999999998</v>
      </c>
      <c r="L16" s="9" t="s">
        <v>20</v>
      </c>
      <c r="M16" s="2"/>
      <c r="N16" s="6" t="s">
        <v>9</v>
      </c>
      <c r="O16" s="7">
        <f>SUM(I3:I33)</f>
        <v>323331.05</v>
      </c>
      <c r="Q16" s="2"/>
    </row>
    <row r="17" spans="1:17" x14ac:dyDescent="0.25">
      <c r="A17" s="3" t="s">
        <v>73</v>
      </c>
      <c r="B17" s="3" t="s">
        <v>40</v>
      </c>
      <c r="C17" s="3" t="s">
        <v>74</v>
      </c>
      <c r="D17" s="3" t="s">
        <v>75</v>
      </c>
      <c r="E17" s="4">
        <v>46104</v>
      </c>
      <c r="F17" s="4">
        <v>46240</v>
      </c>
      <c r="G17" s="5">
        <v>10407.35</v>
      </c>
      <c r="H17" s="5">
        <v>8213.06</v>
      </c>
      <c r="I17" s="5">
        <v>901.7</v>
      </c>
      <c r="J17" s="5">
        <v>0</v>
      </c>
      <c r="K17" s="5">
        <v>1292.5899999999999</v>
      </c>
      <c r="L17" s="3" t="s">
        <v>53</v>
      </c>
      <c r="M17" s="2"/>
      <c r="N17" s="6" t="s">
        <v>76</v>
      </c>
      <c r="O17" s="7">
        <f>SUM(J3:J33)</f>
        <v>0</v>
      </c>
      <c r="Q17" s="2"/>
    </row>
    <row r="18" spans="1:17" x14ac:dyDescent="0.25">
      <c r="A18" s="9" t="s">
        <v>77</v>
      </c>
      <c r="B18" s="9" t="s">
        <v>54</v>
      </c>
      <c r="C18" s="9" t="s">
        <v>78</v>
      </c>
      <c r="D18" s="9" t="s">
        <v>79</v>
      </c>
      <c r="E18" s="10">
        <v>46112</v>
      </c>
      <c r="F18" s="10">
        <v>46217</v>
      </c>
      <c r="G18" s="11">
        <v>68932.009999999995</v>
      </c>
      <c r="H18" s="11">
        <v>55771.83</v>
      </c>
      <c r="I18" s="11">
        <v>2805.1</v>
      </c>
      <c r="J18" s="11">
        <v>0</v>
      </c>
      <c r="K18" s="11">
        <v>10355.08</v>
      </c>
      <c r="L18" s="9" t="s">
        <v>53</v>
      </c>
      <c r="M18" s="2"/>
      <c r="N18" s="6" t="s">
        <v>80</v>
      </c>
      <c r="O18" s="7">
        <f>SUM(K3:K33)</f>
        <v>112066.19</v>
      </c>
      <c r="Q18" s="2"/>
    </row>
    <row r="19" spans="1:17" x14ac:dyDescent="0.25">
      <c r="A19" s="3" t="s">
        <v>81</v>
      </c>
      <c r="B19" s="3" t="s">
        <v>29</v>
      </c>
      <c r="C19" s="3" t="s">
        <v>82</v>
      </c>
      <c r="D19" s="3" t="s">
        <v>83</v>
      </c>
      <c r="E19" s="4">
        <v>46119</v>
      </c>
      <c r="F19" s="4">
        <v>46140</v>
      </c>
      <c r="G19" s="5">
        <v>34672</v>
      </c>
      <c r="H19" s="5">
        <v>24640</v>
      </c>
      <c r="I19" s="5">
        <v>8460</v>
      </c>
      <c r="J19" s="5">
        <v>0</v>
      </c>
      <c r="K19" s="5">
        <v>1572</v>
      </c>
      <c r="L19" s="3" t="s">
        <v>20</v>
      </c>
      <c r="M19" s="2"/>
      <c r="N19" s="16"/>
      <c r="O19" s="13">
        <f>SUM(O15:O18)</f>
        <v>1143702.918095238</v>
      </c>
      <c r="Q19" s="2"/>
    </row>
    <row r="20" spans="1:17" x14ac:dyDescent="0.25">
      <c r="A20" s="9" t="s">
        <v>84</v>
      </c>
      <c r="B20" s="9" t="s">
        <v>17</v>
      </c>
      <c r="C20" s="9" t="s">
        <v>85</v>
      </c>
      <c r="D20" s="9" t="s">
        <v>86</v>
      </c>
      <c r="E20" s="10">
        <v>46121</v>
      </c>
      <c r="F20" s="10">
        <v>46134</v>
      </c>
      <c r="G20" s="11">
        <v>1662.09</v>
      </c>
      <c r="H20" s="11">
        <v>1231.18</v>
      </c>
      <c r="I20" s="11">
        <v>0</v>
      </c>
      <c r="J20" s="11">
        <v>0</v>
      </c>
      <c r="K20" s="11">
        <v>430.91</v>
      </c>
      <c r="L20" s="9" t="s">
        <v>20</v>
      </c>
      <c r="M20" s="2"/>
      <c r="Q20" s="2"/>
    </row>
    <row r="21" spans="1:17" x14ac:dyDescent="0.25">
      <c r="A21" s="3" t="s">
        <v>87</v>
      </c>
      <c r="B21" s="3" t="s">
        <v>31</v>
      </c>
      <c r="C21" s="3" t="s">
        <v>88</v>
      </c>
      <c r="D21" s="3" t="s">
        <v>63</v>
      </c>
      <c r="E21" s="4">
        <v>46148</v>
      </c>
      <c r="F21" s="4">
        <v>46188</v>
      </c>
      <c r="G21" s="5">
        <v>8904</v>
      </c>
      <c r="H21" s="5">
        <v>7950</v>
      </c>
      <c r="I21" s="5">
        <v>0</v>
      </c>
      <c r="J21" s="5">
        <v>0</v>
      </c>
      <c r="K21" s="5">
        <v>954</v>
      </c>
      <c r="L21" s="3" t="s">
        <v>20</v>
      </c>
      <c r="M21" s="2"/>
      <c r="N21" s="17" t="s">
        <v>89</v>
      </c>
      <c r="O21" s="13">
        <f>O16+O18</f>
        <v>435397.24</v>
      </c>
      <c r="Q21" s="2"/>
    </row>
    <row r="22" spans="1:17" x14ac:dyDescent="0.25">
      <c r="A22" s="9" t="s">
        <v>90</v>
      </c>
      <c r="B22" s="9" t="s">
        <v>29</v>
      </c>
      <c r="C22" s="9" t="s">
        <v>82</v>
      </c>
      <c r="D22" s="9" t="s">
        <v>91</v>
      </c>
      <c r="E22" s="10">
        <v>46148</v>
      </c>
      <c r="F22" s="10">
        <v>46207</v>
      </c>
      <c r="G22" s="11">
        <v>2856</v>
      </c>
      <c r="H22" s="11">
        <v>2856</v>
      </c>
      <c r="I22" s="11">
        <v>0</v>
      </c>
      <c r="J22" s="11">
        <v>0</v>
      </c>
      <c r="K22" s="11">
        <v>0</v>
      </c>
      <c r="L22" s="9" t="s">
        <v>20</v>
      </c>
      <c r="M22" s="2"/>
      <c r="N22" s="18">
        <f ca="1">NOW()</f>
        <v>46245.648184027777</v>
      </c>
      <c r="Q22" s="2"/>
    </row>
    <row r="23" spans="1:17" x14ac:dyDescent="0.25">
      <c r="A23" s="3" t="s">
        <v>92</v>
      </c>
      <c r="B23" s="3" t="s">
        <v>25</v>
      </c>
      <c r="C23" s="3" t="s">
        <v>93</v>
      </c>
      <c r="D23" s="3" t="s">
        <v>94</v>
      </c>
      <c r="E23" s="4">
        <v>46167</v>
      </c>
      <c r="F23" s="4">
        <v>46178</v>
      </c>
      <c r="G23" s="5">
        <v>18140</v>
      </c>
      <c r="H23" s="5">
        <v>9740</v>
      </c>
      <c r="I23" s="5">
        <v>8400</v>
      </c>
      <c r="J23" s="5">
        <v>0</v>
      </c>
      <c r="K23" s="5">
        <v>0</v>
      </c>
      <c r="L23" s="3" t="s">
        <v>20</v>
      </c>
      <c r="M23" s="2"/>
      <c r="Q23" s="2"/>
    </row>
    <row r="24" spans="1:17" x14ac:dyDescent="0.25">
      <c r="A24" s="9" t="s">
        <v>95</v>
      </c>
      <c r="B24" s="9" t="s">
        <v>22</v>
      </c>
      <c r="C24" s="9" t="s">
        <v>96</v>
      </c>
      <c r="D24" s="9" t="s">
        <v>97</v>
      </c>
      <c r="E24" s="10">
        <v>46169</v>
      </c>
      <c r="F24" s="10">
        <v>46179</v>
      </c>
      <c r="G24" s="11">
        <v>2487.12</v>
      </c>
      <c r="H24" s="11">
        <v>1848</v>
      </c>
      <c r="I24" s="11">
        <v>532.6</v>
      </c>
      <c r="J24" s="11">
        <v>0</v>
      </c>
      <c r="K24" s="11">
        <v>106.52</v>
      </c>
      <c r="L24" s="9" t="s">
        <v>20</v>
      </c>
      <c r="M24" s="2"/>
      <c r="Q24" s="2"/>
    </row>
    <row r="25" spans="1:17" x14ac:dyDescent="0.25">
      <c r="A25" s="3" t="s">
        <v>98</v>
      </c>
      <c r="B25" s="3" t="s">
        <v>22</v>
      </c>
      <c r="C25" s="3" t="s">
        <v>99</v>
      </c>
      <c r="D25" s="3" t="s">
        <v>100</v>
      </c>
      <c r="E25" s="4">
        <v>46170</v>
      </c>
      <c r="F25" s="4">
        <v>46198</v>
      </c>
      <c r="G25" s="5">
        <v>3730.68</v>
      </c>
      <c r="H25" s="5">
        <v>2772</v>
      </c>
      <c r="I25" s="5">
        <v>798.9</v>
      </c>
      <c r="J25" s="5">
        <v>0</v>
      </c>
      <c r="K25" s="5">
        <v>159.78</v>
      </c>
      <c r="L25" s="3" t="s">
        <v>20</v>
      </c>
      <c r="M25" s="2"/>
      <c r="Q25" s="2"/>
    </row>
    <row r="26" spans="1:17" x14ac:dyDescent="0.25">
      <c r="A26" s="9" t="s">
        <v>101</v>
      </c>
      <c r="B26" s="9" t="s">
        <v>38</v>
      </c>
      <c r="C26" s="9" t="s">
        <v>102</v>
      </c>
      <c r="D26" s="9" t="s">
        <v>103</v>
      </c>
      <c r="E26" s="10">
        <v>46171</v>
      </c>
      <c r="F26" s="10">
        <v>46231</v>
      </c>
      <c r="G26" s="11">
        <v>9680</v>
      </c>
      <c r="H26" s="11">
        <v>0</v>
      </c>
      <c r="I26" s="11">
        <v>8800</v>
      </c>
      <c r="J26" s="11">
        <v>0</v>
      </c>
      <c r="K26" s="11">
        <v>880</v>
      </c>
      <c r="L26" s="9" t="s">
        <v>53</v>
      </c>
      <c r="M26" s="2"/>
      <c r="Q26" s="2"/>
    </row>
    <row r="27" spans="1:17" x14ac:dyDescent="0.25">
      <c r="A27" s="3" t="s">
        <v>104</v>
      </c>
      <c r="B27" s="3" t="s">
        <v>34</v>
      </c>
      <c r="C27" s="3" t="s">
        <v>105</v>
      </c>
      <c r="D27" s="3" t="s">
        <v>106</v>
      </c>
      <c r="E27" s="4">
        <v>46177</v>
      </c>
      <c r="F27" s="4">
        <v>46233</v>
      </c>
      <c r="G27" s="5">
        <v>3353.59</v>
      </c>
      <c r="H27" s="5">
        <v>2125</v>
      </c>
      <c r="I27" s="5">
        <v>867.8</v>
      </c>
      <c r="J27" s="5">
        <v>0</v>
      </c>
      <c r="K27" s="5">
        <v>360.79</v>
      </c>
      <c r="L27" s="3" t="s">
        <v>53</v>
      </c>
      <c r="M27" s="2"/>
      <c r="Q27" s="2"/>
    </row>
    <row r="28" spans="1:17" x14ac:dyDescent="0.25">
      <c r="A28" s="9" t="s">
        <v>107</v>
      </c>
      <c r="B28" s="9" t="s">
        <v>40</v>
      </c>
      <c r="C28" s="9" t="s">
        <v>108</v>
      </c>
      <c r="D28" s="9" t="s">
        <v>109</v>
      </c>
      <c r="E28" s="10">
        <v>46177</v>
      </c>
      <c r="F28" s="10">
        <v>46194</v>
      </c>
      <c r="G28" s="11">
        <v>12544.24</v>
      </c>
      <c r="H28" s="11">
        <v>7970</v>
      </c>
      <c r="I28" s="11">
        <v>3130.24</v>
      </c>
      <c r="J28" s="11">
        <v>0</v>
      </c>
      <c r="K28" s="11">
        <v>1444</v>
      </c>
      <c r="L28" s="9" t="s">
        <v>20</v>
      </c>
      <c r="M28" s="2"/>
      <c r="Q28" s="2"/>
    </row>
    <row r="29" spans="1:17" x14ac:dyDescent="0.25">
      <c r="A29" s="3" t="s">
        <v>110</v>
      </c>
      <c r="B29" s="3" t="s">
        <v>22</v>
      </c>
      <c r="C29" s="3" t="s">
        <v>111</v>
      </c>
      <c r="D29" s="3" t="s">
        <v>112</v>
      </c>
      <c r="E29" s="4">
        <v>46177</v>
      </c>
      <c r="F29" s="4">
        <v>46195</v>
      </c>
      <c r="G29" s="5">
        <v>2453.36</v>
      </c>
      <c r="H29" s="5">
        <v>1004</v>
      </c>
      <c r="I29" s="5">
        <v>1207.8</v>
      </c>
      <c r="J29" s="5">
        <v>0</v>
      </c>
      <c r="K29" s="5">
        <v>241.56</v>
      </c>
      <c r="L29" s="3" t="s">
        <v>20</v>
      </c>
      <c r="M29" s="2"/>
      <c r="Q29" s="2"/>
    </row>
    <row r="30" spans="1:17" x14ac:dyDescent="0.25">
      <c r="A30" s="9" t="s">
        <v>113</v>
      </c>
      <c r="B30" s="9" t="s">
        <v>54</v>
      </c>
      <c r="C30" s="9" t="s">
        <v>114</v>
      </c>
      <c r="D30" s="9" t="s">
        <v>115</v>
      </c>
      <c r="E30" s="10">
        <v>46182</v>
      </c>
      <c r="F30" s="10">
        <v>46294</v>
      </c>
      <c r="G30" s="11">
        <v>47668.98</v>
      </c>
      <c r="H30" s="11">
        <v>40597.949999999997</v>
      </c>
      <c r="I30" s="11">
        <v>4645.03</v>
      </c>
      <c r="J30" s="11">
        <v>0</v>
      </c>
      <c r="K30" s="11">
        <v>2426</v>
      </c>
      <c r="L30" s="9" t="s">
        <v>53</v>
      </c>
      <c r="M30" s="2"/>
      <c r="Q30" s="2"/>
    </row>
    <row r="31" spans="1:17" x14ac:dyDescent="0.25">
      <c r="A31" s="3" t="s">
        <v>116</v>
      </c>
      <c r="B31" s="3" t="s">
        <v>40</v>
      </c>
      <c r="C31" s="3" t="s">
        <v>117</v>
      </c>
      <c r="D31" s="3" t="s">
        <v>118</v>
      </c>
      <c r="E31" s="4">
        <v>46217</v>
      </c>
      <c r="F31" s="4">
        <v>46315</v>
      </c>
      <c r="G31" s="5">
        <v>268441.76</v>
      </c>
      <c r="H31" s="5">
        <v>228268.6</v>
      </c>
      <c r="I31" s="5">
        <v>17335.38</v>
      </c>
      <c r="J31" s="5">
        <v>0</v>
      </c>
      <c r="K31" s="5">
        <v>22837.78</v>
      </c>
      <c r="L31" s="3" t="s">
        <v>53</v>
      </c>
      <c r="M31" s="2"/>
      <c r="Q31" s="2"/>
    </row>
    <row r="32" spans="1:17" x14ac:dyDescent="0.25">
      <c r="A32" s="9" t="s">
        <v>119</v>
      </c>
      <c r="B32" s="9" t="s">
        <v>40</v>
      </c>
      <c r="C32" s="9" t="s">
        <v>120</v>
      </c>
      <c r="D32" s="9" t="s">
        <v>121</v>
      </c>
      <c r="E32" s="10">
        <v>46217</v>
      </c>
      <c r="F32" s="10">
        <v>46227</v>
      </c>
      <c r="G32" s="11">
        <v>4360</v>
      </c>
      <c r="H32" s="11">
        <v>860</v>
      </c>
      <c r="I32" s="11">
        <v>3500</v>
      </c>
      <c r="J32" s="11">
        <v>0</v>
      </c>
      <c r="K32" s="11">
        <v>0</v>
      </c>
      <c r="L32" s="9" t="s">
        <v>20</v>
      </c>
      <c r="M32" s="2"/>
      <c r="Q32" s="2"/>
    </row>
    <row r="33" spans="1:17" x14ac:dyDescent="0.25">
      <c r="A33" s="3" t="s">
        <v>122</v>
      </c>
      <c r="B33" s="3" t="s">
        <v>34</v>
      </c>
      <c r="C33" s="3" t="s">
        <v>123</v>
      </c>
      <c r="D33" s="3" t="s">
        <v>124</v>
      </c>
      <c r="E33" s="4">
        <v>46219</v>
      </c>
      <c r="F33" s="4">
        <v>46254</v>
      </c>
      <c r="G33" s="5">
        <v>632.84</v>
      </c>
      <c r="H33" s="5">
        <v>506.27</v>
      </c>
      <c r="I33" s="5">
        <v>0</v>
      </c>
      <c r="J33" s="5">
        <v>0</v>
      </c>
      <c r="K33" s="5">
        <v>126.57</v>
      </c>
      <c r="L33" s="3" t="s">
        <v>46</v>
      </c>
      <c r="M33" s="2"/>
      <c r="Q33" s="2"/>
    </row>
    <row r="34" spans="1:17" x14ac:dyDescent="0.25">
      <c r="A34" s="67" t="s">
        <v>125</v>
      </c>
      <c r="B34" s="68"/>
      <c r="C34" s="68"/>
      <c r="D34" s="68"/>
      <c r="E34" s="68"/>
      <c r="F34" s="68"/>
      <c r="G34" s="21">
        <f>SUM(G3:G33)</f>
        <v>1143702.9180952383</v>
      </c>
      <c r="H34" s="21">
        <f>SUM(H3:H33)</f>
        <v>708305.67809523817</v>
      </c>
      <c r="I34" s="21">
        <f>SUM(I3:I33)</f>
        <v>323331.05</v>
      </c>
      <c r="J34" s="21">
        <f>SUM(J3:J33)</f>
        <v>0</v>
      </c>
      <c r="K34" s="21">
        <f>SUM(K3:K33)</f>
        <v>112066.19</v>
      </c>
      <c r="L34" s="20"/>
      <c r="M34" s="2"/>
      <c r="Q34" s="2"/>
    </row>
    <row r="35" spans="1:17" x14ac:dyDescent="0.25">
      <c r="M35" s="2"/>
      <c r="Q35" s="2"/>
    </row>
    <row r="36" spans="1:17" x14ac:dyDescent="0.25">
      <c r="M36" s="2"/>
      <c r="Q36" s="2"/>
    </row>
    <row r="37" spans="1:17" x14ac:dyDescent="0.25">
      <c r="M37" s="2"/>
      <c r="Q37" s="2"/>
    </row>
    <row r="38" spans="1:17" x14ac:dyDescent="0.25">
      <c r="M38" s="2"/>
      <c r="Q38" s="2"/>
    </row>
    <row r="39" spans="1:17" x14ac:dyDescent="0.25">
      <c r="M39" s="2"/>
      <c r="Q39" s="2"/>
    </row>
    <row r="40" spans="1:17" x14ac:dyDescent="0.25">
      <c r="M40" s="2"/>
      <c r="Q40" s="2"/>
    </row>
    <row r="41" spans="1:17" x14ac:dyDescent="0.25">
      <c r="M41" s="2"/>
      <c r="Q41" s="2"/>
    </row>
    <row r="42" spans="1:17" x14ac:dyDescent="0.25">
      <c r="M42" s="2"/>
      <c r="Q42" s="2"/>
    </row>
    <row r="43" spans="1:17" x14ac:dyDescent="0.25">
      <c r="M43" s="2"/>
      <c r="Q43" s="2"/>
    </row>
    <row r="44" spans="1:17" x14ac:dyDescent="0.25">
      <c r="M44" s="2"/>
      <c r="Q44" s="2"/>
    </row>
    <row r="45" spans="1:17" x14ac:dyDescent="0.25">
      <c r="M45" s="2"/>
      <c r="Q45" s="2"/>
    </row>
    <row r="46" spans="1:17" x14ac:dyDescent="0.25">
      <c r="M46" s="2"/>
      <c r="Q46" s="2"/>
    </row>
    <row r="47" spans="1:17" x14ac:dyDescent="0.25">
      <c r="M47" s="2"/>
      <c r="Q47" s="2"/>
    </row>
    <row r="48" spans="1:17" x14ac:dyDescent="0.25">
      <c r="M48" s="2"/>
      <c r="Q48" s="2"/>
    </row>
  </sheetData>
  <autoFilter ref="A2:L33"/>
  <mergeCells count="2">
    <mergeCell ref="A34:F34"/>
    <mergeCell ref="A1:L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workbookViewId="0"/>
  </sheetViews>
  <sheetFormatPr baseColWidth="10" defaultColWidth="9.140625" defaultRowHeight="15" x14ac:dyDescent="0.25"/>
  <cols>
    <col min="1" max="1" width="33" customWidth="1"/>
    <col min="2" max="2" width="28" customWidth="1"/>
    <col min="3" max="3" width="23" customWidth="1"/>
    <col min="4" max="4" width="113" customWidth="1"/>
    <col min="5" max="5" width="14" customWidth="1"/>
    <col min="6" max="6" width="16" customWidth="1"/>
    <col min="7" max="7" width="22" customWidth="1"/>
    <col min="8" max="8" width="21" customWidth="1"/>
    <col min="9" max="9" width="22" customWidth="1"/>
    <col min="10" max="10" width="18" customWidth="1"/>
    <col min="11" max="11" width="21" customWidth="1"/>
    <col min="12" max="12" width="14" customWidth="1"/>
    <col min="13" max="13" width="12" customWidth="1"/>
    <col min="14" max="14" width="24" customWidth="1"/>
    <col min="15" max="16" width="18" customWidth="1"/>
    <col min="17" max="17" width="16" customWidth="1"/>
  </cols>
  <sheetData>
    <row r="1" spans="1:17" x14ac:dyDescent="0.25">
      <c r="A1" s="69" t="s">
        <v>126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7" ht="28.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2"/>
      <c r="N2" s="1" t="s">
        <v>13</v>
      </c>
      <c r="O2" s="1" t="s">
        <v>14</v>
      </c>
      <c r="P2" s="1" t="s">
        <v>15</v>
      </c>
      <c r="Q2" s="2"/>
    </row>
    <row r="3" spans="1:17" x14ac:dyDescent="0.25">
      <c r="A3" s="3" t="s">
        <v>127</v>
      </c>
      <c r="B3" s="3" t="s">
        <v>128</v>
      </c>
      <c r="C3" s="3" t="s">
        <v>129</v>
      </c>
      <c r="D3" s="3" t="s">
        <v>130</v>
      </c>
      <c r="E3" s="4">
        <v>46008</v>
      </c>
      <c r="F3" s="4">
        <v>46363</v>
      </c>
      <c r="G3" s="5">
        <v>32050</v>
      </c>
      <c r="H3" s="5">
        <v>7960</v>
      </c>
      <c r="I3" s="5">
        <v>20075</v>
      </c>
      <c r="J3" s="5">
        <v>0</v>
      </c>
      <c r="K3" s="5">
        <v>4015</v>
      </c>
      <c r="L3" s="3" t="s">
        <v>20</v>
      </c>
      <c r="M3" s="2"/>
      <c r="N3" s="6" t="s">
        <v>128</v>
      </c>
      <c r="O3" s="7">
        <f>SUMIF(B:B,"PETROTAL PERU S.R.L.",G:G)</f>
        <v>197050</v>
      </c>
      <c r="P3" s="8">
        <f>COUNTIF(B:B,"PETROTAL PERU S.R.L.")</f>
        <v>2</v>
      </c>
      <c r="Q3" s="2"/>
    </row>
    <row r="4" spans="1:17" x14ac:dyDescent="0.25">
      <c r="A4" s="9" t="s">
        <v>131</v>
      </c>
      <c r="B4" s="9" t="s">
        <v>132</v>
      </c>
      <c r="C4" s="9" t="s">
        <v>133</v>
      </c>
      <c r="D4" s="9" t="s">
        <v>134</v>
      </c>
      <c r="E4" s="10">
        <v>46062</v>
      </c>
      <c r="F4" s="10">
        <v>46066</v>
      </c>
      <c r="G4" s="11">
        <v>660.71428571428567</v>
      </c>
      <c r="H4" s="11">
        <v>125</v>
      </c>
      <c r="I4" s="11">
        <v>446.42857142857139</v>
      </c>
      <c r="J4" s="11">
        <v>0</v>
      </c>
      <c r="K4" s="11">
        <v>89.285714285714292</v>
      </c>
      <c r="L4" s="9" t="s">
        <v>20</v>
      </c>
      <c r="M4" s="2"/>
      <c r="N4" s="6" t="s">
        <v>135</v>
      </c>
      <c r="O4" s="7">
        <f>SUMIF(B:B,"SERTECPET",G:G)</f>
        <v>21276.799999999999</v>
      </c>
      <c r="P4" s="8">
        <f>COUNTIF(B:B,"SERTECPET")</f>
        <v>1</v>
      </c>
      <c r="Q4" s="2"/>
    </row>
    <row r="5" spans="1:17" x14ac:dyDescent="0.25">
      <c r="A5" s="3" t="s">
        <v>136</v>
      </c>
      <c r="B5" s="3" t="s">
        <v>137</v>
      </c>
      <c r="C5" s="3" t="s">
        <v>138</v>
      </c>
      <c r="D5" s="3" t="s">
        <v>139</v>
      </c>
      <c r="E5" s="4">
        <v>46066</v>
      </c>
      <c r="F5" s="4">
        <v>46086</v>
      </c>
      <c r="G5" s="5">
        <v>3380</v>
      </c>
      <c r="H5" s="5">
        <v>1100</v>
      </c>
      <c r="I5" s="5">
        <v>1900</v>
      </c>
      <c r="J5" s="5">
        <v>0</v>
      </c>
      <c r="K5" s="5">
        <v>380</v>
      </c>
      <c r="L5" s="3" t="s">
        <v>53</v>
      </c>
      <c r="M5" s="2"/>
      <c r="N5" s="6" t="s">
        <v>137</v>
      </c>
      <c r="O5" s="7">
        <f>SUMIF(B:B,"TERMINALES DEL PERÚ",G:G)</f>
        <v>6192</v>
      </c>
      <c r="P5" s="8">
        <f>COUNTIF(B:B,"TERMINALES DEL PERÚ")</f>
        <v>3</v>
      </c>
      <c r="Q5" s="2"/>
    </row>
    <row r="6" spans="1:17" x14ac:dyDescent="0.25">
      <c r="A6" s="9" t="s">
        <v>140</v>
      </c>
      <c r="B6" s="9" t="s">
        <v>128</v>
      </c>
      <c r="C6" s="9" t="s">
        <v>141</v>
      </c>
      <c r="D6" s="9" t="s">
        <v>142</v>
      </c>
      <c r="E6" s="10">
        <v>46081</v>
      </c>
      <c r="F6" s="10">
        <v>46387</v>
      </c>
      <c r="G6" s="11">
        <v>165000</v>
      </c>
      <c r="H6" s="11">
        <v>35668.33</v>
      </c>
      <c r="I6" s="11">
        <v>107675</v>
      </c>
      <c r="J6" s="11">
        <v>0</v>
      </c>
      <c r="K6" s="11">
        <v>21656.67</v>
      </c>
      <c r="L6" s="9" t="s">
        <v>20</v>
      </c>
      <c r="M6" s="2"/>
      <c r="N6" s="6" t="s">
        <v>132</v>
      </c>
      <c r="O6" s="7">
        <f>SUMIF(B:B,"Valero Peru S.A.C",G:G)</f>
        <v>2631.5097675696088</v>
      </c>
      <c r="P6" s="8">
        <f>COUNTIF(B:B,"Valero Peru S.A.C")</f>
        <v>4</v>
      </c>
      <c r="Q6" s="2"/>
    </row>
    <row r="7" spans="1:17" x14ac:dyDescent="0.25">
      <c r="A7" s="3" t="s">
        <v>143</v>
      </c>
      <c r="B7" s="3" t="s">
        <v>137</v>
      </c>
      <c r="C7" s="3" t="s">
        <v>144</v>
      </c>
      <c r="D7" s="3" t="s">
        <v>145</v>
      </c>
      <c r="E7" s="4">
        <v>46093</v>
      </c>
      <c r="F7" s="4">
        <v>46099</v>
      </c>
      <c r="G7" s="5">
        <v>2240</v>
      </c>
      <c r="H7" s="5">
        <v>800</v>
      </c>
      <c r="I7" s="5">
        <v>1200</v>
      </c>
      <c r="J7" s="5">
        <v>0</v>
      </c>
      <c r="K7" s="5">
        <v>240</v>
      </c>
      <c r="L7" s="3" t="s">
        <v>20</v>
      </c>
      <c r="M7" s="2"/>
      <c r="N7" s="12"/>
      <c r="O7" s="13">
        <f>SUM(G3:G12)</f>
        <v>227150.30976756962</v>
      </c>
      <c r="P7" s="14">
        <f>COUNTA(A3:A12)</f>
        <v>10</v>
      </c>
      <c r="Q7" s="2"/>
    </row>
    <row r="8" spans="1:17" x14ac:dyDescent="0.25">
      <c r="A8" s="9" t="s">
        <v>146</v>
      </c>
      <c r="B8" s="9" t="s">
        <v>132</v>
      </c>
      <c r="C8" s="9" t="s">
        <v>147</v>
      </c>
      <c r="D8" s="9" t="s">
        <v>148</v>
      </c>
      <c r="E8" s="10">
        <v>46094</v>
      </c>
      <c r="F8" s="10">
        <v>46108</v>
      </c>
      <c r="G8" s="11">
        <v>701.75438596491233</v>
      </c>
      <c r="H8" s="11">
        <v>365.4970760233918</v>
      </c>
      <c r="I8" s="11">
        <v>283.62573099415198</v>
      </c>
      <c r="J8" s="11">
        <v>0</v>
      </c>
      <c r="K8" s="11">
        <v>52.631578947368418</v>
      </c>
      <c r="L8" s="9" t="s">
        <v>20</v>
      </c>
      <c r="M8" s="2"/>
      <c r="N8" s="2"/>
      <c r="O8" s="2"/>
      <c r="P8" s="2"/>
      <c r="Q8" s="2"/>
    </row>
    <row r="9" spans="1:17" x14ac:dyDescent="0.25">
      <c r="A9" s="3" t="s">
        <v>149</v>
      </c>
      <c r="B9" s="3" t="s">
        <v>132</v>
      </c>
      <c r="C9" s="3" t="s">
        <v>150</v>
      </c>
      <c r="D9" s="3" t="s">
        <v>151</v>
      </c>
      <c r="E9" s="4">
        <v>46171</v>
      </c>
      <c r="F9" s="4">
        <v>46176</v>
      </c>
      <c r="G9" s="5">
        <v>389.04109589041099</v>
      </c>
      <c r="H9" s="5">
        <v>93.150684931506845</v>
      </c>
      <c r="I9" s="5">
        <v>246.57534246575341</v>
      </c>
      <c r="J9" s="5">
        <v>0</v>
      </c>
      <c r="K9" s="5">
        <v>49.315068493150683</v>
      </c>
      <c r="L9" s="3" t="s">
        <v>46</v>
      </c>
      <c r="M9" s="2"/>
      <c r="N9" s="15" t="s">
        <v>64</v>
      </c>
      <c r="O9" s="15" t="s">
        <v>65</v>
      </c>
      <c r="Q9" s="2"/>
    </row>
    <row r="10" spans="1:17" x14ac:dyDescent="0.25">
      <c r="A10" s="9" t="s">
        <v>152</v>
      </c>
      <c r="B10" s="9" t="s">
        <v>137</v>
      </c>
      <c r="C10" s="9" t="s">
        <v>153</v>
      </c>
      <c r="D10" s="9" t="s">
        <v>154</v>
      </c>
      <c r="E10" s="10">
        <v>46182</v>
      </c>
      <c r="F10" s="10">
        <v>46183</v>
      </c>
      <c r="G10" s="11">
        <v>572</v>
      </c>
      <c r="H10" s="11">
        <v>212</v>
      </c>
      <c r="I10" s="11">
        <v>300</v>
      </c>
      <c r="J10" s="11">
        <v>0</v>
      </c>
      <c r="K10" s="11">
        <v>60</v>
      </c>
      <c r="L10" s="9" t="s">
        <v>20</v>
      </c>
      <c r="M10" s="2"/>
      <c r="N10" s="6" t="s">
        <v>155</v>
      </c>
      <c r="O10" s="7">
        <f>SUM(H3:H12)</f>
        <v>48380.777760954901</v>
      </c>
      <c r="Q10" s="2"/>
    </row>
    <row r="11" spans="1:17" x14ac:dyDescent="0.25">
      <c r="A11" s="3" t="s">
        <v>156</v>
      </c>
      <c r="B11" s="3" t="s">
        <v>135</v>
      </c>
      <c r="C11" s="3" t="s">
        <v>157</v>
      </c>
      <c r="D11" s="3" t="s">
        <v>158</v>
      </c>
      <c r="E11" s="4">
        <v>46199</v>
      </c>
      <c r="F11" s="4">
        <v>46229</v>
      </c>
      <c r="G11" s="5">
        <v>21276.799999999999</v>
      </c>
      <c r="H11" s="5">
        <v>1896.8</v>
      </c>
      <c r="I11" s="5">
        <v>17100</v>
      </c>
      <c r="J11" s="5">
        <v>0</v>
      </c>
      <c r="K11" s="5">
        <v>2280</v>
      </c>
      <c r="L11" s="3" t="s">
        <v>20</v>
      </c>
      <c r="M11" s="2"/>
      <c r="N11" s="6" t="s">
        <v>9</v>
      </c>
      <c r="O11" s="7">
        <f>SUM(I3:I12)</f>
        <v>149826.62964488848</v>
      </c>
      <c r="Q11" s="2"/>
    </row>
    <row r="12" spans="1:17" x14ac:dyDescent="0.25">
      <c r="A12" s="9" t="s">
        <v>159</v>
      </c>
      <c r="B12" s="9" t="s">
        <v>132</v>
      </c>
      <c r="C12" s="9" t="s">
        <v>160</v>
      </c>
      <c r="D12" s="9" t="s">
        <v>161</v>
      </c>
      <c r="E12" s="10">
        <v>46217</v>
      </c>
      <c r="F12" s="10">
        <v>46233</v>
      </c>
      <c r="G12" s="11">
        <v>880</v>
      </c>
      <c r="H12" s="11">
        <v>160</v>
      </c>
      <c r="I12" s="11">
        <v>600</v>
      </c>
      <c r="J12" s="11">
        <v>0</v>
      </c>
      <c r="K12" s="11">
        <v>120</v>
      </c>
      <c r="L12" s="9" t="s">
        <v>20</v>
      </c>
      <c r="M12" s="2"/>
      <c r="N12" s="6" t="s">
        <v>76</v>
      </c>
      <c r="O12" s="7">
        <f>SUM(J3:J12)</f>
        <v>0</v>
      </c>
      <c r="Q12" s="2"/>
    </row>
    <row r="13" spans="1:17" x14ac:dyDescent="0.25">
      <c r="A13" s="67" t="s">
        <v>125</v>
      </c>
      <c r="B13" s="68"/>
      <c r="C13" s="68"/>
      <c r="D13" s="68"/>
      <c r="E13" s="68"/>
      <c r="F13" s="68"/>
      <c r="G13" s="21">
        <f>SUM(G3:G12)</f>
        <v>227150.30976756962</v>
      </c>
      <c r="H13" s="21">
        <f>SUM(H3:H12)</f>
        <v>48380.777760954901</v>
      </c>
      <c r="I13" s="21">
        <f>SUM(I3:I12)</f>
        <v>149826.62964488848</v>
      </c>
      <c r="J13" s="21">
        <f>SUM(J3:J12)</f>
        <v>0</v>
      </c>
      <c r="K13" s="21">
        <f>SUM(K3:K12)</f>
        <v>28942.902361726232</v>
      </c>
      <c r="L13" s="20"/>
      <c r="M13" s="2"/>
      <c r="N13" s="6" t="s">
        <v>80</v>
      </c>
      <c r="O13" s="7">
        <f>SUM(K3:K12)</f>
        <v>28942.902361726232</v>
      </c>
      <c r="Q13" s="2"/>
    </row>
    <row r="14" spans="1:17" x14ac:dyDescent="0.25">
      <c r="M14" s="2"/>
      <c r="N14" s="16"/>
      <c r="O14" s="13">
        <f>SUM(O10:O13)</f>
        <v>227150.30976756962</v>
      </c>
      <c r="Q14" s="2"/>
    </row>
    <row r="15" spans="1:17" x14ac:dyDescent="0.25">
      <c r="M15" s="2"/>
      <c r="Q15" s="2"/>
    </row>
    <row r="16" spans="1:17" x14ac:dyDescent="0.25">
      <c r="M16" s="2"/>
      <c r="N16" s="17" t="s">
        <v>162</v>
      </c>
      <c r="O16" s="13">
        <f>O11+O13</f>
        <v>178769.53200661473</v>
      </c>
      <c r="Q16" s="2"/>
    </row>
    <row r="17" spans="13:17" x14ac:dyDescent="0.25">
      <c r="M17" s="2"/>
      <c r="N17" s="18">
        <f ca="1">NOW()</f>
        <v>46245.648184027777</v>
      </c>
      <c r="Q17" s="2"/>
    </row>
    <row r="18" spans="13:17" x14ac:dyDescent="0.25">
      <c r="M18" s="2"/>
      <c r="Q18" s="2"/>
    </row>
    <row r="19" spans="13:17" x14ac:dyDescent="0.25">
      <c r="M19" s="2"/>
      <c r="Q19" s="2"/>
    </row>
    <row r="20" spans="13:17" x14ac:dyDescent="0.25">
      <c r="M20" s="2"/>
      <c r="Q20" s="2"/>
    </row>
    <row r="21" spans="13:17" x14ac:dyDescent="0.25">
      <c r="M21" s="2"/>
      <c r="Q21" s="2"/>
    </row>
    <row r="22" spans="13:17" x14ac:dyDescent="0.25">
      <c r="M22" s="2"/>
      <c r="Q22" s="2"/>
    </row>
    <row r="23" spans="13:17" x14ac:dyDescent="0.25">
      <c r="M23" s="2"/>
      <c r="Q23" s="2"/>
    </row>
    <row r="24" spans="13:17" x14ac:dyDescent="0.25">
      <c r="M24" s="2"/>
      <c r="Q24" s="2"/>
    </row>
    <row r="25" spans="13:17" x14ac:dyDescent="0.25">
      <c r="M25" s="2"/>
      <c r="Q25" s="2"/>
    </row>
    <row r="26" spans="13:17" x14ac:dyDescent="0.25">
      <c r="M26" s="2"/>
      <c r="Q26" s="2"/>
    </row>
    <row r="27" spans="13:17" x14ac:dyDescent="0.25">
      <c r="M27" s="2"/>
      <c r="Q27" s="2"/>
    </row>
    <row r="28" spans="13:17" x14ac:dyDescent="0.25">
      <c r="M28" s="2"/>
      <c r="Q28" s="2"/>
    </row>
    <row r="29" spans="13:17" x14ac:dyDescent="0.25">
      <c r="M29" s="2"/>
      <c r="Q29" s="2"/>
    </row>
    <row r="30" spans="13:17" x14ac:dyDescent="0.25">
      <c r="M30" s="2"/>
      <c r="Q30" s="2"/>
    </row>
    <row r="31" spans="13:17" x14ac:dyDescent="0.25">
      <c r="M31" s="2"/>
      <c r="Q31" s="2"/>
    </row>
    <row r="32" spans="13:17" x14ac:dyDescent="0.25">
      <c r="M32" s="2"/>
      <c r="Q32" s="2"/>
    </row>
    <row r="33" spans="13:17" x14ac:dyDescent="0.25">
      <c r="M33" s="2"/>
      <c r="Q33" s="2"/>
    </row>
    <row r="34" spans="13:17" x14ac:dyDescent="0.25">
      <c r="M34" s="2"/>
      <c r="Q34" s="2"/>
    </row>
    <row r="35" spans="13:17" x14ac:dyDescent="0.25">
      <c r="M35" s="2"/>
      <c r="Q35" s="2"/>
    </row>
    <row r="36" spans="13:17" x14ac:dyDescent="0.25">
      <c r="M36" s="2"/>
      <c r="Q36" s="2"/>
    </row>
    <row r="37" spans="13:17" x14ac:dyDescent="0.25">
      <c r="M37" s="2"/>
      <c r="Q37" s="2"/>
    </row>
    <row r="38" spans="13:17" x14ac:dyDescent="0.25">
      <c r="M38" s="2"/>
      <c r="Q38" s="2"/>
    </row>
    <row r="39" spans="13:17" x14ac:dyDescent="0.25">
      <c r="M39" s="2"/>
      <c r="Q39" s="2"/>
    </row>
    <row r="40" spans="13:17" x14ac:dyDescent="0.25">
      <c r="M40" s="2"/>
      <c r="Q40" s="2"/>
    </row>
    <row r="41" spans="13:17" x14ac:dyDescent="0.25">
      <c r="M41" s="2"/>
      <c r="Q41" s="2"/>
    </row>
    <row r="42" spans="13:17" x14ac:dyDescent="0.25">
      <c r="M42" s="2"/>
      <c r="Q42" s="2"/>
    </row>
    <row r="43" spans="13:17" x14ac:dyDescent="0.25">
      <c r="M43" s="2"/>
      <c r="Q43" s="2"/>
    </row>
  </sheetData>
  <autoFilter ref="A2:L12"/>
  <mergeCells count="2">
    <mergeCell ref="A13:F13"/>
    <mergeCell ref="A1:L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workbookViewId="0"/>
  </sheetViews>
  <sheetFormatPr baseColWidth="10" defaultColWidth="9.140625" defaultRowHeight="15" x14ac:dyDescent="0.25"/>
  <cols>
    <col min="1" max="1" width="30" customWidth="1"/>
    <col min="2" max="2" width="28" customWidth="1"/>
    <col min="3" max="3" width="23" customWidth="1"/>
    <col min="4" max="4" width="75" customWidth="1"/>
    <col min="5" max="5" width="14" customWidth="1"/>
    <col min="6" max="6" width="16" customWidth="1"/>
    <col min="7" max="9" width="22" customWidth="1"/>
    <col min="10" max="10" width="18" customWidth="1"/>
    <col min="11" max="11" width="22" customWidth="1"/>
    <col min="12" max="12" width="14" customWidth="1"/>
    <col min="13" max="13" width="12" customWidth="1"/>
    <col min="14" max="14" width="22" customWidth="1"/>
    <col min="15" max="16" width="18" customWidth="1"/>
    <col min="17" max="17" width="16" customWidth="1"/>
  </cols>
  <sheetData>
    <row r="1" spans="1:17" x14ac:dyDescent="0.25">
      <c r="A1" s="69" t="s">
        <v>163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7" ht="28.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2"/>
      <c r="N2" s="1" t="s">
        <v>13</v>
      </c>
      <c r="O2" s="1" t="s">
        <v>14</v>
      </c>
      <c r="P2" s="1" t="s">
        <v>15</v>
      </c>
      <c r="Q2" s="2"/>
    </row>
    <row r="3" spans="1:17" x14ac:dyDescent="0.25">
      <c r="A3" s="3" t="s">
        <v>164</v>
      </c>
      <c r="B3" s="3" t="s">
        <v>165</v>
      </c>
      <c r="C3" s="3" t="s">
        <v>166</v>
      </c>
      <c r="D3" s="3" t="s">
        <v>167</v>
      </c>
      <c r="E3" s="4">
        <v>46010</v>
      </c>
      <c r="F3" s="4">
        <v>46022</v>
      </c>
      <c r="G3" s="5">
        <v>3300</v>
      </c>
      <c r="H3" s="5">
        <v>420</v>
      </c>
      <c r="I3" s="5">
        <v>2400</v>
      </c>
      <c r="J3" s="5">
        <v>0</v>
      </c>
      <c r="K3" s="5">
        <v>480</v>
      </c>
      <c r="L3" s="3" t="s">
        <v>46</v>
      </c>
      <c r="M3" s="2"/>
      <c r="N3" s="6" t="s">
        <v>168</v>
      </c>
      <c r="O3" s="7">
        <f>SUMIF(B:B,"Casa Grande S.A.A.",G:G)</f>
        <v>4616</v>
      </c>
      <c r="P3" s="8">
        <f>COUNTIF(B:B,"Casa Grande S.A.A.")</f>
        <v>1</v>
      </c>
      <c r="Q3" s="2"/>
    </row>
    <row r="4" spans="1:17" x14ac:dyDescent="0.25">
      <c r="A4" s="9" t="s">
        <v>169</v>
      </c>
      <c r="B4" s="9" t="s">
        <v>165</v>
      </c>
      <c r="C4" s="9" t="s">
        <v>170</v>
      </c>
      <c r="D4" s="9" t="s">
        <v>171</v>
      </c>
      <c r="E4" s="10">
        <v>46030</v>
      </c>
      <c r="F4" s="10">
        <v>46058</v>
      </c>
      <c r="G4" s="11">
        <v>532.5</v>
      </c>
      <c r="H4" s="11">
        <v>471</v>
      </c>
      <c r="I4" s="11">
        <v>0</v>
      </c>
      <c r="J4" s="11">
        <v>0</v>
      </c>
      <c r="K4" s="11">
        <v>61.5</v>
      </c>
      <c r="L4" s="9" t="s">
        <v>46</v>
      </c>
      <c r="M4" s="2"/>
      <c r="N4" s="6" t="s">
        <v>172</v>
      </c>
      <c r="O4" s="7">
        <f>SUMIF(B:B,"MONDELEZ PERU S.A.",G:G)</f>
        <v>8122.9243697478978</v>
      </c>
      <c r="P4" s="8">
        <f>COUNTIF(B:B,"MONDELEZ PERU S.A.")</f>
        <v>3</v>
      </c>
      <c r="Q4" s="2"/>
    </row>
    <row r="5" spans="1:17" x14ac:dyDescent="0.25">
      <c r="A5" s="3" t="s">
        <v>173</v>
      </c>
      <c r="B5" s="3" t="s">
        <v>174</v>
      </c>
      <c r="C5" s="3" t="s">
        <v>175</v>
      </c>
      <c r="D5" s="3" t="s">
        <v>176</v>
      </c>
      <c r="E5" s="4">
        <v>46043</v>
      </c>
      <c r="F5" s="4">
        <v>46044</v>
      </c>
      <c r="G5" s="5">
        <v>366</v>
      </c>
      <c r="H5" s="5">
        <v>333</v>
      </c>
      <c r="I5" s="5">
        <v>0</v>
      </c>
      <c r="J5" s="5">
        <v>0</v>
      </c>
      <c r="K5" s="5">
        <v>33</v>
      </c>
      <c r="L5" s="3" t="s">
        <v>20</v>
      </c>
      <c r="M5" s="2"/>
      <c r="N5" s="6" t="s">
        <v>177</v>
      </c>
      <c r="O5" s="7">
        <f>SUMIF(B:B,"Nestle",G:G)</f>
        <v>5595.8861502013733</v>
      </c>
      <c r="P5" s="8">
        <f>COUNTIF(B:B,"Nestle")</f>
        <v>4</v>
      </c>
      <c r="Q5" s="2"/>
    </row>
    <row r="6" spans="1:17" x14ac:dyDescent="0.25">
      <c r="A6" s="9" t="s">
        <v>178</v>
      </c>
      <c r="B6" s="9" t="s">
        <v>177</v>
      </c>
      <c r="C6" s="9" t="s">
        <v>179</v>
      </c>
      <c r="D6" s="9" t="s">
        <v>180</v>
      </c>
      <c r="E6" s="10">
        <v>46045</v>
      </c>
      <c r="F6" s="10">
        <v>46050</v>
      </c>
      <c r="G6" s="11">
        <v>1664.64</v>
      </c>
      <c r="H6" s="11">
        <v>700</v>
      </c>
      <c r="I6" s="11">
        <v>803.88</v>
      </c>
      <c r="J6" s="11">
        <v>0</v>
      </c>
      <c r="K6" s="11">
        <v>160.76</v>
      </c>
      <c r="L6" s="9" t="s">
        <v>20</v>
      </c>
      <c r="M6" s="2"/>
      <c r="N6" s="6" t="s">
        <v>165</v>
      </c>
      <c r="O6" s="7">
        <f>SUMIF(B:B,"RINTI S.A.",G:G)</f>
        <v>9467.5</v>
      </c>
      <c r="P6" s="8">
        <f>COUNTIF(B:B,"RINTI S.A.")</f>
        <v>4</v>
      </c>
      <c r="Q6" s="2"/>
    </row>
    <row r="7" spans="1:17" x14ac:dyDescent="0.25">
      <c r="A7" s="3" t="s">
        <v>181</v>
      </c>
      <c r="B7" s="3" t="s">
        <v>177</v>
      </c>
      <c r="C7" s="3" t="s">
        <v>182</v>
      </c>
      <c r="D7" s="3" t="s">
        <v>183</v>
      </c>
      <c r="E7" s="4">
        <v>46058</v>
      </c>
      <c r="F7" s="4">
        <v>46061</v>
      </c>
      <c r="G7" s="5">
        <v>125.3731343283582</v>
      </c>
      <c r="H7" s="5">
        <v>35.820895522388057</v>
      </c>
      <c r="I7" s="5">
        <v>74.626865671641795</v>
      </c>
      <c r="J7" s="5">
        <v>0</v>
      </c>
      <c r="K7" s="5">
        <v>14.92537313432836</v>
      </c>
      <c r="L7" s="3" t="s">
        <v>20</v>
      </c>
      <c r="M7" s="2"/>
      <c r="N7" s="6" t="s">
        <v>174</v>
      </c>
      <c r="O7" s="7">
        <f>SUMIF(B:B,"TRUPAL S.A.",G:G)</f>
        <v>366</v>
      </c>
      <c r="P7" s="8">
        <f>COUNTIF(B:B,"TRUPAL S.A.")</f>
        <v>1</v>
      </c>
      <c r="Q7" s="2"/>
    </row>
    <row r="8" spans="1:17" x14ac:dyDescent="0.25">
      <c r="A8" s="9" t="s">
        <v>184</v>
      </c>
      <c r="B8" s="9" t="s">
        <v>172</v>
      </c>
      <c r="C8" s="9" t="s">
        <v>185</v>
      </c>
      <c r="D8" s="9" t="s">
        <v>186</v>
      </c>
      <c r="E8" s="10">
        <v>46073</v>
      </c>
      <c r="F8" s="10">
        <v>46112</v>
      </c>
      <c r="G8" s="11">
        <v>4101.8529411764703</v>
      </c>
      <c r="H8" s="11">
        <v>1726.4705882352939</v>
      </c>
      <c r="I8" s="11">
        <v>2159.382352941177</v>
      </c>
      <c r="J8" s="11">
        <v>0</v>
      </c>
      <c r="K8" s="11">
        <v>216</v>
      </c>
      <c r="L8" s="9" t="s">
        <v>46</v>
      </c>
      <c r="M8" s="2"/>
      <c r="N8" s="12"/>
      <c r="O8" s="13">
        <f>SUM(G3:G15)</f>
        <v>28168.310519949275</v>
      </c>
      <c r="P8" s="14">
        <f>COUNTA(A3:A15)</f>
        <v>13</v>
      </c>
      <c r="Q8" s="2"/>
    </row>
    <row r="9" spans="1:17" x14ac:dyDescent="0.25">
      <c r="A9" s="3" t="s">
        <v>187</v>
      </c>
      <c r="B9" s="3" t="s">
        <v>168</v>
      </c>
      <c r="C9" s="3" t="s">
        <v>188</v>
      </c>
      <c r="D9" s="3" t="s">
        <v>189</v>
      </c>
      <c r="E9" s="4">
        <v>46054</v>
      </c>
      <c r="F9" s="4">
        <v>46085</v>
      </c>
      <c r="G9" s="5">
        <v>4616</v>
      </c>
      <c r="H9" s="5">
        <v>3826</v>
      </c>
      <c r="I9" s="5">
        <v>0</v>
      </c>
      <c r="J9" s="5">
        <v>0</v>
      </c>
      <c r="K9" s="5">
        <v>790</v>
      </c>
      <c r="L9" s="3" t="s">
        <v>20</v>
      </c>
      <c r="M9" s="2"/>
      <c r="N9" s="2"/>
      <c r="O9" s="2"/>
      <c r="P9" s="2"/>
      <c r="Q9" s="2"/>
    </row>
    <row r="10" spans="1:17" x14ac:dyDescent="0.25">
      <c r="A10" s="9" t="s">
        <v>190</v>
      </c>
      <c r="B10" s="9" t="s">
        <v>172</v>
      </c>
      <c r="C10" s="9" t="s">
        <v>191</v>
      </c>
      <c r="D10" s="9" t="s">
        <v>192</v>
      </c>
      <c r="E10" s="10">
        <v>46058</v>
      </c>
      <c r="F10" s="10">
        <v>46064</v>
      </c>
      <c r="G10" s="11">
        <v>1163.9285714285711</v>
      </c>
      <c r="H10" s="11">
        <v>825.68571428571431</v>
      </c>
      <c r="I10" s="11">
        <v>0</v>
      </c>
      <c r="J10" s="11">
        <v>0</v>
      </c>
      <c r="K10" s="11">
        <v>338.24285714285708</v>
      </c>
      <c r="L10" s="9" t="s">
        <v>20</v>
      </c>
      <c r="M10" s="2"/>
      <c r="N10" s="15" t="s">
        <v>64</v>
      </c>
      <c r="O10" s="15" t="s">
        <v>65</v>
      </c>
      <c r="Q10" s="2"/>
    </row>
    <row r="11" spans="1:17" x14ac:dyDescent="0.25">
      <c r="A11" s="3" t="s">
        <v>193</v>
      </c>
      <c r="B11" s="3" t="s">
        <v>172</v>
      </c>
      <c r="C11" s="3" t="s">
        <v>194</v>
      </c>
      <c r="D11" s="3" t="s">
        <v>195</v>
      </c>
      <c r="E11" s="4">
        <v>46119</v>
      </c>
      <c r="F11" s="4">
        <v>46149</v>
      </c>
      <c r="G11" s="5">
        <v>2857.1428571428569</v>
      </c>
      <c r="H11" s="5">
        <v>1968.5714285714289</v>
      </c>
      <c r="I11" s="5">
        <v>807.14285714285711</v>
      </c>
      <c r="J11" s="5">
        <v>0</v>
      </c>
      <c r="K11" s="5">
        <v>81.428571428571431</v>
      </c>
      <c r="L11" s="3" t="s">
        <v>46</v>
      </c>
      <c r="M11" s="2"/>
      <c r="N11" s="6" t="s">
        <v>155</v>
      </c>
      <c r="O11" s="7">
        <f>SUM(H3:H15)</f>
        <v>13698.111801218</v>
      </c>
      <c r="Q11" s="2"/>
    </row>
    <row r="12" spans="1:17" x14ac:dyDescent="0.25">
      <c r="A12" s="9" t="s">
        <v>196</v>
      </c>
      <c r="B12" s="9" t="s">
        <v>165</v>
      </c>
      <c r="C12" s="9" t="s">
        <v>197</v>
      </c>
      <c r="D12" s="9" t="s">
        <v>198</v>
      </c>
      <c r="E12" s="10">
        <v>46108</v>
      </c>
      <c r="F12" s="10">
        <v>46170</v>
      </c>
      <c r="G12" s="11">
        <v>2180</v>
      </c>
      <c r="H12" s="11">
        <v>380</v>
      </c>
      <c r="I12" s="11">
        <v>1500</v>
      </c>
      <c r="J12" s="11">
        <v>0</v>
      </c>
      <c r="K12" s="11">
        <v>300</v>
      </c>
      <c r="L12" s="9" t="s">
        <v>46</v>
      </c>
      <c r="M12" s="2"/>
      <c r="N12" s="6" t="s">
        <v>9</v>
      </c>
      <c r="O12" s="7">
        <f>SUM(I3:I15)</f>
        <v>11168.960647184249</v>
      </c>
      <c r="Q12" s="2"/>
    </row>
    <row r="13" spans="1:17" x14ac:dyDescent="0.25">
      <c r="A13" s="3" t="s">
        <v>199</v>
      </c>
      <c r="B13" s="3" t="s">
        <v>177</v>
      </c>
      <c r="C13" s="3" t="s">
        <v>200</v>
      </c>
      <c r="D13" s="3" t="s">
        <v>201</v>
      </c>
      <c r="E13" s="4">
        <v>46188</v>
      </c>
      <c r="F13" s="4">
        <v>46198</v>
      </c>
      <c r="G13" s="5">
        <v>251.42857142857139</v>
      </c>
      <c r="H13" s="5">
        <v>45.714285714285722</v>
      </c>
      <c r="I13" s="5">
        <v>171.42857142857139</v>
      </c>
      <c r="J13" s="5">
        <v>0</v>
      </c>
      <c r="K13" s="5">
        <v>34.285714285714278</v>
      </c>
      <c r="L13" s="3" t="s">
        <v>46</v>
      </c>
      <c r="M13" s="2"/>
      <c r="N13" s="6" t="s">
        <v>76</v>
      </c>
      <c r="O13" s="7">
        <f>SUM(J3:J15)</f>
        <v>0</v>
      </c>
      <c r="Q13" s="2"/>
    </row>
    <row r="14" spans="1:17" x14ac:dyDescent="0.25">
      <c r="A14" s="9" t="s">
        <v>202</v>
      </c>
      <c r="B14" s="9" t="s">
        <v>165</v>
      </c>
      <c r="C14" s="9" t="s">
        <v>160</v>
      </c>
      <c r="D14" s="9" t="s">
        <v>203</v>
      </c>
      <c r="E14" s="10">
        <v>46213</v>
      </c>
      <c r="F14" s="10">
        <v>46230</v>
      </c>
      <c r="G14" s="11">
        <v>3455</v>
      </c>
      <c r="H14" s="11">
        <v>906.96</v>
      </c>
      <c r="I14" s="11">
        <v>2060</v>
      </c>
      <c r="J14" s="11">
        <v>0</v>
      </c>
      <c r="K14" s="11">
        <v>488.04</v>
      </c>
      <c r="L14" s="9" t="s">
        <v>20</v>
      </c>
      <c r="M14" s="2"/>
      <c r="N14" s="6" t="s">
        <v>80</v>
      </c>
      <c r="O14" s="7">
        <f>SUM(K3:K15)</f>
        <v>3301.2380715470267</v>
      </c>
      <c r="Q14" s="2"/>
    </row>
    <row r="15" spans="1:17" x14ac:dyDescent="0.25">
      <c r="A15" s="3" t="s">
        <v>204</v>
      </c>
      <c r="B15" s="3" t="s">
        <v>177</v>
      </c>
      <c r="C15" s="3" t="s">
        <v>205</v>
      </c>
      <c r="D15" s="3" t="s">
        <v>206</v>
      </c>
      <c r="E15" s="4">
        <v>46217</v>
      </c>
      <c r="F15" s="4">
        <v>46266</v>
      </c>
      <c r="G15" s="5">
        <v>3554.4444444444439</v>
      </c>
      <c r="H15" s="5">
        <v>2058.8888888888891</v>
      </c>
      <c r="I15" s="5">
        <v>1192.5</v>
      </c>
      <c r="J15" s="5">
        <v>0</v>
      </c>
      <c r="K15" s="5">
        <v>303.05555555555549</v>
      </c>
      <c r="L15" s="3" t="s">
        <v>46</v>
      </c>
      <c r="M15" s="2"/>
      <c r="N15" s="16"/>
      <c r="O15" s="13">
        <f>SUM(O11:O14)</f>
        <v>28168.310519949278</v>
      </c>
      <c r="Q15" s="2"/>
    </row>
    <row r="16" spans="1:17" x14ac:dyDescent="0.25">
      <c r="A16" s="67" t="s">
        <v>125</v>
      </c>
      <c r="B16" s="68"/>
      <c r="C16" s="68"/>
      <c r="D16" s="68"/>
      <c r="E16" s="68"/>
      <c r="F16" s="68"/>
      <c r="G16" s="21">
        <f>SUM(G3:G15)</f>
        <v>28168.310519949275</v>
      </c>
      <c r="H16" s="21">
        <f>SUM(H3:H15)</f>
        <v>13698.111801218</v>
      </c>
      <c r="I16" s="21">
        <f>SUM(I3:I15)</f>
        <v>11168.960647184249</v>
      </c>
      <c r="J16" s="21">
        <f>SUM(J3:J15)</f>
        <v>0</v>
      </c>
      <c r="K16" s="21">
        <f>SUM(K3:K15)</f>
        <v>3301.2380715470267</v>
      </c>
      <c r="L16" s="20"/>
      <c r="M16" s="2"/>
      <c r="Q16" s="2"/>
    </row>
    <row r="17" spans="13:17" x14ac:dyDescent="0.25">
      <c r="M17" s="2"/>
      <c r="Q17" s="2"/>
    </row>
    <row r="18" spans="13:17" x14ac:dyDescent="0.25">
      <c r="M18" s="2"/>
      <c r="N18" s="6" t="s">
        <v>207</v>
      </c>
      <c r="O18" s="7">
        <v>0</v>
      </c>
      <c r="Q18" s="2"/>
    </row>
    <row r="19" spans="13:17" x14ac:dyDescent="0.25">
      <c r="M19" s="2"/>
      <c r="N19" s="6" t="s">
        <v>208</v>
      </c>
      <c r="O19" s="7">
        <v>0</v>
      </c>
      <c r="Q19" s="2"/>
    </row>
    <row r="20" spans="13:17" x14ac:dyDescent="0.25">
      <c r="M20" s="2"/>
      <c r="N20" s="16"/>
      <c r="O20" s="13">
        <f>SUM(O18:O19)</f>
        <v>0</v>
      </c>
      <c r="Q20" s="2"/>
    </row>
    <row r="21" spans="13:17" x14ac:dyDescent="0.25">
      <c r="M21" s="2"/>
      <c r="Q21" s="2"/>
    </row>
    <row r="22" spans="13:17" x14ac:dyDescent="0.25">
      <c r="M22" s="2"/>
      <c r="N22" s="17" t="s">
        <v>209</v>
      </c>
      <c r="O22" s="13">
        <f>O12+O14</f>
        <v>14470.198718731275</v>
      </c>
      <c r="Q22" s="2"/>
    </row>
    <row r="23" spans="13:17" x14ac:dyDescent="0.25">
      <c r="M23" s="2"/>
      <c r="N23" s="18">
        <f ca="1">NOW()</f>
        <v>46245.648184027777</v>
      </c>
      <c r="Q23" s="2"/>
    </row>
    <row r="24" spans="13:17" x14ac:dyDescent="0.25">
      <c r="M24" s="2"/>
      <c r="Q24" s="2"/>
    </row>
    <row r="25" spans="13:17" x14ac:dyDescent="0.25">
      <c r="M25" s="2"/>
      <c r="Q25" s="2"/>
    </row>
    <row r="26" spans="13:17" x14ac:dyDescent="0.25">
      <c r="M26" s="2"/>
      <c r="Q26" s="2"/>
    </row>
    <row r="27" spans="13:17" x14ac:dyDescent="0.25">
      <c r="M27" s="2"/>
      <c r="Q27" s="2"/>
    </row>
    <row r="28" spans="13:17" x14ac:dyDescent="0.25">
      <c r="M28" s="2"/>
      <c r="Q28" s="2"/>
    </row>
    <row r="29" spans="13:17" x14ac:dyDescent="0.25">
      <c r="M29" s="2"/>
      <c r="Q29" s="2"/>
    </row>
    <row r="30" spans="13:17" x14ac:dyDescent="0.25">
      <c r="M30" s="2"/>
      <c r="Q30" s="2"/>
    </row>
    <row r="31" spans="13:17" x14ac:dyDescent="0.25">
      <c r="M31" s="2"/>
      <c r="Q31" s="2"/>
    </row>
    <row r="32" spans="13:17" x14ac:dyDescent="0.25">
      <c r="M32" s="2"/>
      <c r="Q32" s="2"/>
    </row>
    <row r="33" spans="13:17" x14ac:dyDescent="0.25">
      <c r="M33" s="2"/>
      <c r="Q33" s="2"/>
    </row>
    <row r="34" spans="13:17" x14ac:dyDescent="0.25">
      <c r="M34" s="2"/>
      <c r="Q34" s="2"/>
    </row>
    <row r="35" spans="13:17" x14ac:dyDescent="0.25">
      <c r="M35" s="2"/>
      <c r="Q35" s="2"/>
    </row>
    <row r="36" spans="13:17" x14ac:dyDescent="0.25">
      <c r="M36" s="2"/>
      <c r="Q36" s="2"/>
    </row>
    <row r="37" spans="13:17" x14ac:dyDescent="0.25">
      <c r="M37" s="2"/>
      <c r="Q37" s="2"/>
    </row>
    <row r="38" spans="13:17" x14ac:dyDescent="0.25">
      <c r="M38" s="2"/>
      <c r="Q38" s="2"/>
    </row>
    <row r="39" spans="13:17" x14ac:dyDescent="0.25">
      <c r="M39" s="2"/>
      <c r="Q39" s="2"/>
    </row>
    <row r="40" spans="13:17" x14ac:dyDescent="0.25">
      <c r="M40" s="2"/>
      <c r="Q40" s="2"/>
    </row>
    <row r="41" spans="13:17" x14ac:dyDescent="0.25">
      <c r="M41" s="2"/>
      <c r="Q41" s="2"/>
    </row>
    <row r="42" spans="13:17" x14ac:dyDescent="0.25">
      <c r="M42" s="2"/>
      <c r="Q42" s="2"/>
    </row>
    <row r="43" spans="13:17" x14ac:dyDescent="0.25">
      <c r="M43" s="2"/>
      <c r="Q43" s="2"/>
    </row>
    <row r="44" spans="13:17" x14ac:dyDescent="0.25">
      <c r="M44" s="2"/>
      <c r="Q44" s="2"/>
    </row>
  </sheetData>
  <autoFilter ref="A2:L15"/>
  <mergeCells count="2">
    <mergeCell ref="A16:F16"/>
    <mergeCell ref="A1:L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workbookViewId="0"/>
  </sheetViews>
  <sheetFormatPr baseColWidth="10" defaultColWidth="9.140625" defaultRowHeight="15" x14ac:dyDescent="0.25"/>
  <cols>
    <col min="1" max="1" width="44" customWidth="1"/>
    <col min="2" max="2" width="28" customWidth="1"/>
    <col min="3" max="3" width="16" customWidth="1"/>
    <col min="4" max="4" width="35" customWidth="1"/>
    <col min="5" max="5" width="13" customWidth="1"/>
    <col min="6" max="6" width="16" customWidth="1"/>
    <col min="7" max="7" width="22" customWidth="1"/>
    <col min="8" max="11" width="18" customWidth="1"/>
    <col min="12" max="12" width="14" customWidth="1"/>
    <col min="13" max="13" width="12" customWidth="1"/>
    <col min="14" max="16" width="18" customWidth="1"/>
    <col min="17" max="17" width="16" customWidth="1"/>
  </cols>
  <sheetData>
    <row r="1" spans="1:17" x14ac:dyDescent="0.25">
      <c r="A1" s="69" t="s">
        <v>210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7" ht="28.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2"/>
      <c r="N2" s="1" t="s">
        <v>13</v>
      </c>
      <c r="O2" s="1" t="s">
        <v>65</v>
      </c>
      <c r="P2" s="1" t="s">
        <v>15</v>
      </c>
      <c r="Q2" s="2"/>
    </row>
    <row r="3" spans="1:17" x14ac:dyDescent="0.25">
      <c r="A3" s="19" t="s">
        <v>125</v>
      </c>
      <c r="B3" s="20"/>
      <c r="C3" s="20"/>
      <c r="D3" s="20"/>
      <c r="E3" s="20"/>
      <c r="F3" s="20"/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0"/>
      <c r="M3" s="2"/>
      <c r="N3" s="12"/>
      <c r="O3" s="13">
        <f>SUM(G2:G3)</f>
        <v>0</v>
      </c>
      <c r="P3" s="14">
        <f>COUNTA(A2:A3)</f>
        <v>2</v>
      </c>
      <c r="Q3" s="2"/>
    </row>
    <row r="4" spans="1:17" x14ac:dyDescent="0.25">
      <c r="M4" s="2"/>
      <c r="N4" s="2"/>
      <c r="O4" s="2"/>
      <c r="P4" s="2"/>
      <c r="Q4" s="2"/>
    </row>
    <row r="5" spans="1:17" x14ac:dyDescent="0.25">
      <c r="M5" s="2"/>
      <c r="N5" s="15" t="s">
        <v>64</v>
      </c>
      <c r="O5" s="15" t="s">
        <v>65</v>
      </c>
      <c r="Q5" s="2"/>
    </row>
    <row r="6" spans="1:17" x14ac:dyDescent="0.25">
      <c r="M6" s="2"/>
      <c r="N6" s="6" t="s">
        <v>155</v>
      </c>
      <c r="O6" s="7">
        <f>SUM(H2:H3)</f>
        <v>0</v>
      </c>
      <c r="Q6" s="2"/>
    </row>
    <row r="7" spans="1:17" x14ac:dyDescent="0.25">
      <c r="M7" s="2"/>
      <c r="N7" s="6" t="s">
        <v>9</v>
      </c>
      <c r="O7" s="7">
        <f>SUM(I2:I3)</f>
        <v>0</v>
      </c>
      <c r="Q7" s="2"/>
    </row>
    <row r="8" spans="1:17" x14ac:dyDescent="0.25">
      <c r="M8" s="2"/>
      <c r="N8" s="6" t="s">
        <v>76</v>
      </c>
      <c r="O8" s="7">
        <f>SUM(J2:J3)</f>
        <v>0</v>
      </c>
      <c r="Q8" s="2"/>
    </row>
    <row r="9" spans="1:17" x14ac:dyDescent="0.25">
      <c r="M9" s="2"/>
      <c r="N9" s="6" t="s">
        <v>80</v>
      </c>
      <c r="O9" s="7">
        <f>SUM(K2:K3)</f>
        <v>0</v>
      </c>
      <c r="Q9" s="2"/>
    </row>
    <row r="10" spans="1:17" x14ac:dyDescent="0.25">
      <c r="M10" s="2"/>
      <c r="N10" s="16"/>
      <c r="O10" s="13">
        <f>SUM(O6:O9)</f>
        <v>0</v>
      </c>
      <c r="Q10" s="2"/>
    </row>
    <row r="11" spans="1:17" x14ac:dyDescent="0.25">
      <c r="M11" s="2"/>
      <c r="Q11" s="2"/>
    </row>
    <row r="12" spans="1:17" x14ac:dyDescent="0.25">
      <c r="M12" s="2"/>
      <c r="Q12" s="2"/>
    </row>
    <row r="13" spans="1:17" x14ac:dyDescent="0.25">
      <c r="M13" s="2"/>
      <c r="N13" s="6" t="s">
        <v>207</v>
      </c>
      <c r="O13" s="7">
        <v>0</v>
      </c>
      <c r="Q13" s="2"/>
    </row>
    <row r="14" spans="1:17" x14ac:dyDescent="0.25">
      <c r="M14" s="2"/>
      <c r="N14" s="6" t="s">
        <v>208</v>
      </c>
      <c r="O14" s="7">
        <v>0</v>
      </c>
      <c r="Q14" s="2"/>
    </row>
    <row r="15" spans="1:17" x14ac:dyDescent="0.25">
      <c r="M15" s="2"/>
      <c r="N15" s="16"/>
      <c r="O15" s="13">
        <f>SUM(O13:O14)</f>
        <v>0</v>
      </c>
      <c r="Q15" s="2"/>
    </row>
    <row r="16" spans="1:17" x14ac:dyDescent="0.25">
      <c r="M16" s="2"/>
      <c r="Q16" s="2"/>
    </row>
    <row r="17" spans="13:17" x14ac:dyDescent="0.25">
      <c r="M17" s="2"/>
      <c r="N17" s="17" t="s">
        <v>211</v>
      </c>
      <c r="O17" s="13">
        <f>O7+O9</f>
        <v>0</v>
      </c>
      <c r="Q17" s="2"/>
    </row>
    <row r="18" spans="13:17" x14ac:dyDescent="0.25">
      <c r="M18" s="2"/>
      <c r="N18" s="18">
        <f ca="1">NOW()</f>
        <v>46245.648184027777</v>
      </c>
      <c r="Q18" s="2"/>
    </row>
    <row r="19" spans="13:17" x14ac:dyDescent="0.25">
      <c r="M19" s="2"/>
      <c r="Q19" s="2"/>
    </row>
    <row r="20" spans="13:17" x14ac:dyDescent="0.25">
      <c r="M20" s="2"/>
      <c r="Q20" s="2"/>
    </row>
    <row r="21" spans="13:17" x14ac:dyDescent="0.25">
      <c r="M21" s="2"/>
      <c r="Q21" s="2"/>
    </row>
    <row r="22" spans="13:17" x14ac:dyDescent="0.25">
      <c r="M22" s="2"/>
      <c r="Q22" s="2"/>
    </row>
    <row r="23" spans="13:17" x14ac:dyDescent="0.25">
      <c r="M23" s="2"/>
      <c r="Q23" s="2"/>
    </row>
    <row r="24" spans="13:17" x14ac:dyDescent="0.25">
      <c r="M24" s="2"/>
      <c r="Q24" s="2"/>
    </row>
    <row r="25" spans="13:17" x14ac:dyDescent="0.25">
      <c r="M25" s="2"/>
      <c r="Q25" s="2"/>
    </row>
    <row r="26" spans="13:17" x14ac:dyDescent="0.25">
      <c r="M26" s="2"/>
      <c r="Q26" s="2"/>
    </row>
    <row r="27" spans="13:17" x14ac:dyDescent="0.25">
      <c r="M27" s="2"/>
      <c r="Q27" s="2"/>
    </row>
    <row r="28" spans="13:17" x14ac:dyDescent="0.25">
      <c r="M28" s="2"/>
      <c r="Q28" s="2"/>
    </row>
    <row r="29" spans="13:17" x14ac:dyDescent="0.25">
      <c r="M29" s="2"/>
      <c r="Q29" s="2"/>
    </row>
    <row r="30" spans="13:17" x14ac:dyDescent="0.25">
      <c r="M30" s="2"/>
      <c r="Q30" s="2"/>
    </row>
    <row r="31" spans="13:17" x14ac:dyDescent="0.25">
      <c r="M31" s="2"/>
      <c r="Q31" s="2"/>
    </row>
    <row r="32" spans="13:17" x14ac:dyDescent="0.25">
      <c r="M32" s="2"/>
      <c r="Q32" s="2"/>
    </row>
    <row r="33" spans="13:17" x14ac:dyDescent="0.25">
      <c r="M33" s="2"/>
      <c r="Q33" s="2"/>
    </row>
    <row r="34" spans="13:17" x14ac:dyDescent="0.25">
      <c r="M34" s="2"/>
      <c r="Q34" s="2"/>
    </row>
    <row r="35" spans="13:17" x14ac:dyDescent="0.25">
      <c r="M35" s="2"/>
      <c r="Q35" s="2"/>
    </row>
    <row r="36" spans="13:17" x14ac:dyDescent="0.25">
      <c r="M36" s="2"/>
      <c r="Q36" s="2"/>
    </row>
    <row r="37" spans="13:17" x14ac:dyDescent="0.25">
      <c r="M37" s="2"/>
      <c r="Q37" s="2"/>
    </row>
    <row r="38" spans="13:17" x14ac:dyDescent="0.25">
      <c r="M38" s="2"/>
      <c r="Q38" s="2"/>
    </row>
    <row r="39" spans="13:17" x14ac:dyDescent="0.25">
      <c r="M39" s="2"/>
      <c r="Q39" s="2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58"/>
  <sheetViews>
    <sheetView tabSelected="1" topLeftCell="A119" zoomScale="60" zoomScaleNormal="60" workbookViewId="0">
      <selection activeCell="AD160" sqref="AD160"/>
    </sheetView>
  </sheetViews>
  <sheetFormatPr baseColWidth="10" defaultColWidth="9.140625" defaultRowHeight="15" x14ac:dyDescent="0.25"/>
  <cols>
    <col min="1" max="1" width="15" customWidth="1"/>
    <col min="2" max="4" width="18" customWidth="1"/>
    <col min="5" max="5" width="22" customWidth="1"/>
    <col min="6" max="6" width="18" customWidth="1"/>
    <col min="7" max="9" width="16" customWidth="1"/>
    <col min="10" max="11" width="22" customWidth="1"/>
    <col min="12" max="14" width="18" customWidth="1"/>
  </cols>
  <sheetData>
    <row r="2" spans="1:13" x14ac:dyDescent="0.25">
      <c r="A2" s="22" t="s">
        <v>212</v>
      </c>
      <c r="B2" s="22" t="s">
        <v>213</v>
      </c>
      <c r="C2" s="22" t="s">
        <v>15</v>
      </c>
      <c r="I2" s="22" t="s">
        <v>214</v>
      </c>
      <c r="J2" s="22" t="s">
        <v>215</v>
      </c>
      <c r="K2" s="22" t="s">
        <v>216</v>
      </c>
      <c r="L2" s="22" t="s">
        <v>217</v>
      </c>
      <c r="M2" s="22" t="s">
        <v>15</v>
      </c>
    </row>
    <row r="3" spans="1:13" x14ac:dyDescent="0.25">
      <c r="A3" s="23" t="s">
        <v>218</v>
      </c>
      <c r="B3" s="24">
        <f>IND!O8</f>
        <v>28168.310519949275</v>
      </c>
      <c r="C3" s="23">
        <f>IND!P8</f>
        <v>13</v>
      </c>
      <c r="I3" s="23">
        <v>2012</v>
      </c>
      <c r="J3" s="24">
        <v>856894.56</v>
      </c>
      <c r="K3" s="24">
        <v>0</v>
      </c>
      <c r="L3" s="25"/>
      <c r="M3" s="23">
        <v>132</v>
      </c>
    </row>
    <row r="4" spans="1:13" x14ac:dyDescent="0.25">
      <c r="A4" s="26" t="s">
        <v>219</v>
      </c>
      <c r="B4" s="27">
        <f>MIN!O12</f>
        <v>1143702.9180952383</v>
      </c>
      <c r="C4" s="26">
        <f>MIN!P12</f>
        <v>31</v>
      </c>
      <c r="I4" s="26">
        <v>2013</v>
      </c>
      <c r="J4" s="27">
        <v>1173006.51</v>
      </c>
      <c r="K4" s="27">
        <v>0</v>
      </c>
      <c r="L4" s="28"/>
      <c r="M4" s="26">
        <v>172</v>
      </c>
    </row>
    <row r="5" spans="1:13" x14ac:dyDescent="0.25">
      <c r="A5" s="23" t="s">
        <v>220</v>
      </c>
      <c r="B5" s="24">
        <f>OIL!O7</f>
        <v>227150.30976756962</v>
      </c>
      <c r="C5" s="23">
        <f>OIL!P7</f>
        <v>10</v>
      </c>
      <c r="I5" s="23">
        <v>2014</v>
      </c>
      <c r="J5" s="24">
        <v>1469563.62</v>
      </c>
      <c r="K5" s="24">
        <v>766989.82</v>
      </c>
      <c r="L5" s="24">
        <v>599213.68999999994</v>
      </c>
      <c r="M5" s="23">
        <v>198</v>
      </c>
    </row>
    <row r="6" spans="1:13" x14ac:dyDescent="0.25">
      <c r="A6" s="26" t="s">
        <v>221</v>
      </c>
      <c r="B6" s="27">
        <f>SFY!O3</f>
        <v>0</v>
      </c>
      <c r="C6" s="26">
        <f>SFY!P3</f>
        <v>2</v>
      </c>
      <c r="I6" s="26">
        <v>2015</v>
      </c>
      <c r="J6" s="27">
        <v>1267166.6960788879</v>
      </c>
      <c r="K6" s="27">
        <v>530501.62738079415</v>
      </c>
      <c r="L6" s="27">
        <v>791852.48</v>
      </c>
      <c r="M6" s="26">
        <v>231</v>
      </c>
    </row>
    <row r="7" spans="1:13" x14ac:dyDescent="0.25">
      <c r="A7" s="29" t="s">
        <v>222</v>
      </c>
      <c r="B7" s="30">
        <f>SUM(B3:B6)</f>
        <v>1399021.5383827572</v>
      </c>
      <c r="C7" s="29">
        <f>SUM(C3:C6)</f>
        <v>56</v>
      </c>
      <c r="I7" s="23">
        <v>2016</v>
      </c>
      <c r="J7" s="24">
        <v>1080847.054045476</v>
      </c>
      <c r="K7" s="24">
        <v>507030.85316631407</v>
      </c>
      <c r="L7" s="24">
        <v>791852.48</v>
      </c>
      <c r="M7" s="23">
        <v>134</v>
      </c>
    </row>
    <row r="8" spans="1:13" x14ac:dyDescent="0.25">
      <c r="I8" s="26">
        <v>2017</v>
      </c>
      <c r="J8" s="27">
        <v>1415889.736370502</v>
      </c>
      <c r="K8" s="27">
        <v>473934.37879611831</v>
      </c>
      <c r="L8" s="27">
        <v>786394.2</v>
      </c>
      <c r="M8" s="26">
        <v>158</v>
      </c>
    </row>
    <row r="9" spans="1:13" x14ac:dyDescent="0.25">
      <c r="I9" s="23">
        <v>2018</v>
      </c>
      <c r="J9" s="24">
        <v>1690561.0310020749</v>
      </c>
      <c r="K9" s="24">
        <v>674026.11355894641</v>
      </c>
      <c r="L9" s="24">
        <v>1015424.41</v>
      </c>
      <c r="M9" s="23">
        <v>181</v>
      </c>
    </row>
    <row r="10" spans="1:13" x14ac:dyDescent="0.25">
      <c r="I10" s="26">
        <v>2019</v>
      </c>
      <c r="J10" s="27">
        <v>2113662.1261475342</v>
      </c>
      <c r="K10" s="27">
        <v>590483.95069786382</v>
      </c>
      <c r="L10" s="27">
        <v>1016302.22</v>
      </c>
      <c r="M10" s="26">
        <v>176</v>
      </c>
    </row>
    <row r="11" spans="1:13" x14ac:dyDescent="0.25">
      <c r="I11" s="23">
        <v>2020</v>
      </c>
      <c r="J11" s="24">
        <v>1428707.6283189689</v>
      </c>
      <c r="K11" s="24">
        <v>712348.37944424758</v>
      </c>
      <c r="L11" s="24">
        <v>869409.41</v>
      </c>
      <c r="M11" s="23">
        <v>101</v>
      </c>
    </row>
    <row r="12" spans="1:13" x14ac:dyDescent="0.25">
      <c r="I12" s="26">
        <v>2021</v>
      </c>
      <c r="J12" s="27">
        <v>1174629.0539013131</v>
      </c>
      <c r="K12" s="27">
        <v>361921.25285261299</v>
      </c>
      <c r="L12" s="27">
        <v>864817.23</v>
      </c>
      <c r="M12" s="26">
        <v>119</v>
      </c>
    </row>
    <row r="13" spans="1:13" x14ac:dyDescent="0.25">
      <c r="I13" s="23">
        <v>2022</v>
      </c>
      <c r="J13" s="24">
        <v>1568894.247265148</v>
      </c>
      <c r="K13" s="24">
        <v>573851.61096111836</v>
      </c>
      <c r="L13" s="24">
        <v>726996.85</v>
      </c>
      <c r="M13" s="23">
        <v>93</v>
      </c>
    </row>
    <row r="14" spans="1:13" x14ac:dyDescent="0.25">
      <c r="I14" s="26">
        <v>2023</v>
      </c>
      <c r="J14" s="27">
        <v>1601964.346871661</v>
      </c>
      <c r="K14" s="27">
        <v>855738.58666111925</v>
      </c>
      <c r="L14" s="27">
        <v>872396.23</v>
      </c>
      <c r="M14" s="26">
        <v>98</v>
      </c>
    </row>
    <row r="15" spans="1:13" x14ac:dyDescent="0.25">
      <c r="I15" s="23">
        <v>2024</v>
      </c>
      <c r="J15" s="24">
        <v>1502315.0120595009</v>
      </c>
      <c r="K15" s="24">
        <v>827619.78659258678</v>
      </c>
      <c r="L15" s="24">
        <v>1046875.48</v>
      </c>
      <c r="M15" s="23">
        <v>110</v>
      </c>
    </row>
    <row r="16" spans="1:13" x14ac:dyDescent="0.25">
      <c r="I16" s="26">
        <v>2025</v>
      </c>
      <c r="J16" s="27">
        <v>1580195.6036236531</v>
      </c>
      <c r="K16" s="27">
        <v>734535.74502075417</v>
      </c>
      <c r="L16" s="27">
        <v>1046875.48</v>
      </c>
      <c r="M16" s="26">
        <v>87</v>
      </c>
    </row>
    <row r="17" spans="1:14" x14ac:dyDescent="0.25">
      <c r="I17" s="29">
        <v>2026</v>
      </c>
      <c r="J17" s="30">
        <f>B7</f>
        <v>1399021.5383827572</v>
      </c>
      <c r="K17" s="30">
        <f>Objetivos!D7</f>
        <v>628636.97072534601</v>
      </c>
      <c r="L17" s="30">
        <f>Objetivos!C7</f>
        <v>1165000</v>
      </c>
      <c r="M17" s="29">
        <f>C7</f>
        <v>56</v>
      </c>
    </row>
    <row r="25" spans="1:14" x14ac:dyDescent="0.25">
      <c r="A25" s="71" t="s">
        <v>223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</row>
    <row r="26" spans="1:14" x14ac:dyDescent="0.25">
      <c r="A26" s="22" t="s">
        <v>214</v>
      </c>
      <c r="B26" s="22" t="s">
        <v>224</v>
      </c>
      <c r="C26" s="22" t="s">
        <v>225</v>
      </c>
      <c r="D26" s="22" t="s">
        <v>226</v>
      </c>
      <c r="E26" s="22" t="s">
        <v>227</v>
      </c>
      <c r="F26" s="22" t="s">
        <v>228</v>
      </c>
      <c r="G26" s="22" t="s">
        <v>229</v>
      </c>
      <c r="H26" s="22" t="s">
        <v>230</v>
      </c>
      <c r="I26" s="22" t="s">
        <v>231</v>
      </c>
      <c r="J26" s="22" t="s">
        <v>232</v>
      </c>
      <c r="K26" s="22" t="s">
        <v>233</v>
      </c>
      <c r="L26" s="22" t="s">
        <v>234</v>
      </c>
      <c r="M26" s="22" t="s">
        <v>235</v>
      </c>
      <c r="N26" s="22" t="s">
        <v>222</v>
      </c>
    </row>
    <row r="27" spans="1:14" x14ac:dyDescent="0.25">
      <c r="A27" s="23">
        <v>2011</v>
      </c>
      <c r="B27" s="24">
        <v>0</v>
      </c>
      <c r="C27" s="24">
        <v>0</v>
      </c>
      <c r="D27" s="24">
        <v>8081.84</v>
      </c>
      <c r="E27" s="24">
        <v>1225.454545454545</v>
      </c>
      <c r="F27" s="24">
        <v>0</v>
      </c>
      <c r="G27" s="24">
        <v>1996</v>
      </c>
      <c r="H27" s="24">
        <v>840.55</v>
      </c>
      <c r="I27" s="24">
        <v>34797.82</v>
      </c>
      <c r="J27" s="24">
        <v>0</v>
      </c>
      <c r="K27" s="24">
        <v>111991.51</v>
      </c>
      <c r="L27" s="24">
        <v>6400</v>
      </c>
      <c r="M27" s="24">
        <v>9116.67</v>
      </c>
      <c r="N27" s="24">
        <f t="shared" ref="N27:N42" si="0">SUM(B27:M27)</f>
        <v>174449.84454545454</v>
      </c>
    </row>
    <row r="28" spans="1:14" x14ac:dyDescent="0.25">
      <c r="A28" s="26">
        <v>2012</v>
      </c>
      <c r="B28" s="27">
        <v>288.75</v>
      </c>
      <c r="C28" s="27">
        <v>16966.009999999998</v>
      </c>
      <c r="D28" s="27">
        <v>11996.84</v>
      </c>
      <c r="E28" s="27">
        <v>10473.799999999999</v>
      </c>
      <c r="F28" s="27">
        <v>23696.62</v>
      </c>
      <c r="G28" s="27">
        <v>17358.2</v>
      </c>
      <c r="H28" s="27">
        <v>11531.73</v>
      </c>
      <c r="I28" s="27">
        <v>11142.81</v>
      </c>
      <c r="J28" s="27">
        <v>3372.72</v>
      </c>
      <c r="K28" s="27">
        <v>370.5</v>
      </c>
      <c r="L28" s="27">
        <v>38269.660000000003</v>
      </c>
      <c r="M28" s="27">
        <v>20800.84</v>
      </c>
      <c r="N28" s="27">
        <f t="shared" si="0"/>
        <v>166268.47999999998</v>
      </c>
    </row>
    <row r="29" spans="1:14" x14ac:dyDescent="0.25">
      <c r="A29" s="23">
        <v>2013</v>
      </c>
      <c r="B29" s="24">
        <v>14551.34</v>
      </c>
      <c r="C29" s="24">
        <v>19427.05</v>
      </c>
      <c r="D29" s="24">
        <v>2262</v>
      </c>
      <c r="E29" s="24">
        <v>39092.379999999997</v>
      </c>
      <c r="F29" s="24">
        <v>31540.28</v>
      </c>
      <c r="G29" s="24">
        <v>19834.150000000001</v>
      </c>
      <c r="H29" s="24">
        <v>3903.08</v>
      </c>
      <c r="I29" s="24">
        <v>49596.05</v>
      </c>
      <c r="J29" s="24">
        <v>11850.33</v>
      </c>
      <c r="K29" s="24">
        <v>28657.57</v>
      </c>
      <c r="L29" s="24">
        <v>34503.31</v>
      </c>
      <c r="M29" s="24">
        <v>0</v>
      </c>
      <c r="N29" s="24">
        <f t="shared" si="0"/>
        <v>255217.53999999998</v>
      </c>
    </row>
    <row r="30" spans="1:14" x14ac:dyDescent="0.25">
      <c r="A30" s="26">
        <v>2014</v>
      </c>
      <c r="B30" s="27">
        <v>35533.57</v>
      </c>
      <c r="C30" s="27">
        <v>3500</v>
      </c>
      <c r="D30" s="27">
        <v>13796</v>
      </c>
      <c r="E30" s="27">
        <v>6360</v>
      </c>
      <c r="F30" s="27">
        <v>34670</v>
      </c>
      <c r="G30" s="27">
        <v>20700</v>
      </c>
      <c r="H30" s="27">
        <v>27649.9</v>
      </c>
      <c r="I30" s="27">
        <v>12924.2</v>
      </c>
      <c r="J30" s="27">
        <v>71445.259999999995</v>
      </c>
      <c r="K30" s="27">
        <v>125296.03</v>
      </c>
      <c r="L30" s="27">
        <v>19935.009999999998</v>
      </c>
      <c r="M30" s="27">
        <v>19950</v>
      </c>
      <c r="N30" s="27">
        <f t="shared" si="0"/>
        <v>391759.97</v>
      </c>
    </row>
    <row r="31" spans="1:14" x14ac:dyDescent="0.25">
      <c r="A31" s="23">
        <v>2015</v>
      </c>
      <c r="B31" s="24">
        <v>0</v>
      </c>
      <c r="C31" s="24">
        <v>0</v>
      </c>
      <c r="D31" s="24">
        <v>48338.97</v>
      </c>
      <c r="E31" s="24">
        <v>1619.9</v>
      </c>
      <c r="F31" s="24">
        <v>400</v>
      </c>
      <c r="G31" s="24">
        <v>54648.3</v>
      </c>
      <c r="H31" s="24">
        <v>11186.8</v>
      </c>
      <c r="I31" s="24">
        <v>32656.2</v>
      </c>
      <c r="J31" s="24">
        <v>40006.21</v>
      </c>
      <c r="K31" s="24">
        <v>7070.13</v>
      </c>
      <c r="L31" s="24">
        <v>12900</v>
      </c>
      <c r="M31" s="24">
        <v>59189</v>
      </c>
      <c r="N31" s="24">
        <f t="shared" si="0"/>
        <v>268015.51</v>
      </c>
    </row>
    <row r="32" spans="1:14" x14ac:dyDescent="0.25">
      <c r="A32" s="26">
        <v>2016</v>
      </c>
      <c r="B32" s="27">
        <v>64626.94</v>
      </c>
      <c r="C32" s="27">
        <v>91133.37</v>
      </c>
      <c r="D32" s="27">
        <v>28155.599999999999</v>
      </c>
      <c r="E32" s="27">
        <v>1222.5</v>
      </c>
      <c r="F32" s="27">
        <v>600</v>
      </c>
      <c r="G32" s="27">
        <v>3688.4</v>
      </c>
      <c r="H32" s="27">
        <v>25934.95</v>
      </c>
      <c r="I32" s="27">
        <v>15845.01</v>
      </c>
      <c r="J32" s="27">
        <v>4185.51</v>
      </c>
      <c r="K32" s="27">
        <v>12128.1</v>
      </c>
      <c r="L32" s="27">
        <v>3807.88</v>
      </c>
      <c r="M32" s="27">
        <v>4900</v>
      </c>
      <c r="N32" s="27">
        <f t="shared" si="0"/>
        <v>256228.26000000004</v>
      </c>
    </row>
    <row r="33" spans="1:14" x14ac:dyDescent="0.25">
      <c r="A33" s="23">
        <v>2017</v>
      </c>
      <c r="B33" s="24">
        <v>19607.87</v>
      </c>
      <c r="C33" s="24">
        <v>133750.17000000001</v>
      </c>
      <c r="D33" s="24">
        <v>23056.54</v>
      </c>
      <c r="E33" s="24">
        <v>1982</v>
      </c>
      <c r="F33" s="24">
        <v>41474</v>
      </c>
      <c r="G33" s="24">
        <v>5405.5</v>
      </c>
      <c r="H33" s="24">
        <v>144797.51</v>
      </c>
      <c r="I33" s="24">
        <v>147549.01</v>
      </c>
      <c r="J33" s="24">
        <v>8547.44</v>
      </c>
      <c r="K33" s="24">
        <v>2414.9299999999998</v>
      </c>
      <c r="L33" s="24">
        <v>65256.13</v>
      </c>
      <c r="M33" s="24">
        <v>49307.3</v>
      </c>
      <c r="N33" s="24">
        <f t="shared" si="0"/>
        <v>643148.40000000014</v>
      </c>
    </row>
    <row r="34" spans="1:14" x14ac:dyDescent="0.25">
      <c r="A34" s="26">
        <v>2018</v>
      </c>
      <c r="B34" s="27">
        <v>47082.85</v>
      </c>
      <c r="C34" s="27">
        <v>26269.61</v>
      </c>
      <c r="D34" s="27">
        <v>65385.66</v>
      </c>
      <c r="E34" s="27">
        <v>22090.560000000001</v>
      </c>
      <c r="F34" s="27">
        <v>142594.25</v>
      </c>
      <c r="G34" s="27">
        <v>4320</v>
      </c>
      <c r="H34" s="27">
        <v>2814.7</v>
      </c>
      <c r="I34" s="27">
        <v>17059.71</v>
      </c>
      <c r="J34" s="27">
        <v>18378</v>
      </c>
      <c r="K34" s="27">
        <v>10400</v>
      </c>
      <c r="L34" s="27">
        <v>88735.86</v>
      </c>
      <c r="M34" s="27">
        <v>6045.56</v>
      </c>
      <c r="N34" s="27">
        <f t="shared" si="0"/>
        <v>451176.76</v>
      </c>
    </row>
    <row r="35" spans="1:14" x14ac:dyDescent="0.25">
      <c r="A35" s="23">
        <v>2019</v>
      </c>
      <c r="B35" s="24">
        <v>11400.28</v>
      </c>
      <c r="C35" s="24">
        <v>9990</v>
      </c>
      <c r="D35" s="24">
        <v>0</v>
      </c>
      <c r="E35" s="24">
        <v>2682.46</v>
      </c>
      <c r="F35" s="24">
        <v>95953.7</v>
      </c>
      <c r="G35" s="24">
        <v>22179.66</v>
      </c>
      <c r="H35" s="24">
        <v>0</v>
      </c>
      <c r="I35" s="24">
        <v>9915.6</v>
      </c>
      <c r="J35" s="24">
        <v>800</v>
      </c>
      <c r="K35" s="24">
        <v>850</v>
      </c>
      <c r="L35" s="24">
        <v>11258.1</v>
      </c>
      <c r="M35" s="24">
        <v>0</v>
      </c>
      <c r="N35" s="24">
        <f t="shared" si="0"/>
        <v>165029.80000000002</v>
      </c>
    </row>
    <row r="36" spans="1:14" x14ac:dyDescent="0.25">
      <c r="A36" s="26">
        <v>2020</v>
      </c>
      <c r="B36" s="27">
        <v>11188.55</v>
      </c>
      <c r="C36" s="27">
        <v>33333.199999999997</v>
      </c>
      <c r="D36" s="27">
        <v>0</v>
      </c>
      <c r="E36" s="27">
        <v>0</v>
      </c>
      <c r="F36" s="27">
        <v>0</v>
      </c>
      <c r="G36" s="27">
        <v>0</v>
      </c>
      <c r="H36" s="27">
        <v>16924.46</v>
      </c>
      <c r="I36" s="27">
        <v>110</v>
      </c>
      <c r="J36" s="27">
        <v>1354.46</v>
      </c>
      <c r="K36" s="27">
        <v>1452.34</v>
      </c>
      <c r="L36" s="27">
        <v>3544.38</v>
      </c>
      <c r="M36" s="27">
        <v>7272</v>
      </c>
      <c r="N36" s="27">
        <f t="shared" si="0"/>
        <v>75179.39</v>
      </c>
    </row>
    <row r="37" spans="1:14" x14ac:dyDescent="0.25">
      <c r="A37" s="23">
        <v>2021</v>
      </c>
      <c r="B37" s="24">
        <v>8601.17</v>
      </c>
      <c r="C37" s="24">
        <v>0</v>
      </c>
      <c r="D37" s="24">
        <v>1104.57</v>
      </c>
      <c r="E37" s="24">
        <v>4337.71</v>
      </c>
      <c r="F37" s="24">
        <v>0</v>
      </c>
      <c r="G37" s="24">
        <v>0</v>
      </c>
      <c r="H37" s="24">
        <v>155</v>
      </c>
      <c r="I37" s="24">
        <v>202961.72</v>
      </c>
      <c r="J37" s="24">
        <v>127.78</v>
      </c>
      <c r="K37" s="24">
        <v>7402.35</v>
      </c>
      <c r="L37" s="24">
        <v>2438</v>
      </c>
      <c r="M37" s="24">
        <v>1206</v>
      </c>
      <c r="N37" s="24">
        <f t="shared" si="0"/>
        <v>228334.30000000002</v>
      </c>
    </row>
    <row r="38" spans="1:14" x14ac:dyDescent="0.25">
      <c r="A38" s="26">
        <v>2022</v>
      </c>
      <c r="B38" s="27">
        <v>0</v>
      </c>
      <c r="C38" s="27">
        <v>1801.85</v>
      </c>
      <c r="D38" s="27">
        <v>6522.74</v>
      </c>
      <c r="E38" s="27">
        <v>11039.54</v>
      </c>
      <c r="F38" s="27">
        <v>471.6</v>
      </c>
      <c r="G38" s="27">
        <v>14709</v>
      </c>
      <c r="H38" s="27">
        <v>0</v>
      </c>
      <c r="I38" s="27">
        <v>9710</v>
      </c>
      <c r="J38" s="27">
        <v>100</v>
      </c>
      <c r="K38" s="27">
        <v>17001.240000000002</v>
      </c>
      <c r="L38" s="27">
        <v>1130</v>
      </c>
      <c r="M38" s="27">
        <v>0</v>
      </c>
      <c r="N38" s="27">
        <f t="shared" si="0"/>
        <v>62485.97</v>
      </c>
    </row>
    <row r="39" spans="1:14" x14ac:dyDescent="0.25">
      <c r="A39" s="23">
        <v>2023</v>
      </c>
      <c r="B39" s="24">
        <v>0</v>
      </c>
      <c r="C39" s="24">
        <v>61177.52</v>
      </c>
      <c r="D39" s="24">
        <v>0</v>
      </c>
      <c r="E39" s="24">
        <v>0</v>
      </c>
      <c r="F39" s="24">
        <v>0</v>
      </c>
      <c r="G39" s="24">
        <v>0</v>
      </c>
      <c r="H39" s="24">
        <v>0</v>
      </c>
      <c r="I39" s="24">
        <v>4038.44</v>
      </c>
      <c r="J39" s="24">
        <v>0</v>
      </c>
      <c r="K39" s="24">
        <v>12265</v>
      </c>
      <c r="L39" s="24">
        <v>6952.98</v>
      </c>
      <c r="M39" s="24">
        <v>1276.4000000000001</v>
      </c>
      <c r="N39" s="24">
        <f t="shared" si="0"/>
        <v>85710.339999999982</v>
      </c>
    </row>
    <row r="40" spans="1:14" x14ac:dyDescent="0.25">
      <c r="A40" s="26">
        <v>2024</v>
      </c>
      <c r="B40" s="27">
        <v>4488.68</v>
      </c>
      <c r="C40" s="27">
        <v>71868.06</v>
      </c>
      <c r="D40" s="27">
        <v>18225.89</v>
      </c>
      <c r="E40" s="27">
        <v>15772.49</v>
      </c>
      <c r="F40" s="27">
        <v>2420</v>
      </c>
      <c r="G40" s="27">
        <v>9325</v>
      </c>
      <c r="H40" s="27">
        <v>80</v>
      </c>
      <c r="I40" s="27">
        <v>0</v>
      </c>
      <c r="J40" s="27">
        <v>7716.63</v>
      </c>
      <c r="K40" s="27">
        <v>62061.34</v>
      </c>
      <c r="L40" s="27">
        <v>27973.71</v>
      </c>
      <c r="M40" s="27">
        <v>50418.03</v>
      </c>
      <c r="N40" s="27">
        <f t="shared" si="0"/>
        <v>270349.82999999996</v>
      </c>
    </row>
    <row r="41" spans="1:14" x14ac:dyDescent="0.25">
      <c r="A41" s="23">
        <v>2025</v>
      </c>
      <c r="B41" s="24">
        <v>4932</v>
      </c>
      <c r="C41" s="24">
        <v>16355</v>
      </c>
      <c r="D41" s="24">
        <v>21167.93</v>
      </c>
      <c r="E41" s="24">
        <v>2998.9</v>
      </c>
      <c r="F41" s="24">
        <v>3408</v>
      </c>
      <c r="G41" s="24">
        <v>12106.81</v>
      </c>
      <c r="H41" s="24">
        <v>3745</v>
      </c>
      <c r="I41" s="24">
        <v>10726.67</v>
      </c>
      <c r="J41" s="24">
        <v>13640.04</v>
      </c>
      <c r="K41" s="24">
        <v>9276.19</v>
      </c>
      <c r="L41" s="24">
        <v>4000.64</v>
      </c>
      <c r="M41" s="24">
        <v>22158.71</v>
      </c>
      <c r="N41" s="24">
        <f t="shared" si="0"/>
        <v>124515.89000000001</v>
      </c>
    </row>
    <row r="42" spans="1:14" x14ac:dyDescent="0.25">
      <c r="A42" s="29">
        <v>2026</v>
      </c>
      <c r="B42" s="30">
        <v>2563.14</v>
      </c>
      <c r="C42" s="30">
        <v>23056.05</v>
      </c>
      <c r="D42" s="30">
        <v>2180</v>
      </c>
      <c r="E42" s="30">
        <v>10000</v>
      </c>
      <c r="F42" s="30">
        <v>0</v>
      </c>
      <c r="G42" s="30">
        <v>880</v>
      </c>
      <c r="H42" s="30">
        <v>16251</v>
      </c>
      <c r="I42" s="30">
        <v>0</v>
      </c>
      <c r="J42" s="30">
        <v>0</v>
      </c>
      <c r="K42" s="30">
        <v>0</v>
      </c>
      <c r="L42" s="30">
        <v>0</v>
      </c>
      <c r="M42" s="30">
        <v>3300</v>
      </c>
      <c r="N42" s="30">
        <f t="shared" si="0"/>
        <v>58230.19</v>
      </c>
    </row>
    <row r="55" spans="1:14" x14ac:dyDescent="0.25">
      <c r="A55" s="71" t="s">
        <v>236</v>
      </c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</row>
    <row r="56" spans="1:14" x14ac:dyDescent="0.25">
      <c r="A56" s="22" t="s">
        <v>214</v>
      </c>
      <c r="B56" s="22" t="s">
        <v>224</v>
      </c>
      <c r="C56" s="22" t="s">
        <v>225</v>
      </c>
      <c r="D56" s="22" t="s">
        <v>226</v>
      </c>
      <c r="E56" s="22" t="s">
        <v>227</v>
      </c>
      <c r="F56" s="22" t="s">
        <v>228</v>
      </c>
      <c r="G56" s="22" t="s">
        <v>229</v>
      </c>
      <c r="H56" s="22" t="s">
        <v>230</v>
      </c>
      <c r="I56" s="22" t="s">
        <v>231</v>
      </c>
      <c r="J56" s="22" t="s">
        <v>232</v>
      </c>
      <c r="K56" s="22" t="s">
        <v>233</v>
      </c>
      <c r="L56" s="22" t="s">
        <v>234</v>
      </c>
      <c r="M56" s="22" t="s">
        <v>235</v>
      </c>
      <c r="N56" s="22" t="s">
        <v>222</v>
      </c>
    </row>
    <row r="57" spans="1:14" x14ac:dyDescent="0.25">
      <c r="A57" s="23">
        <v>2011</v>
      </c>
      <c r="B57" s="24">
        <v>0</v>
      </c>
      <c r="C57" s="24">
        <v>0</v>
      </c>
      <c r="D57" s="24">
        <v>143668.9</v>
      </c>
      <c r="E57" s="24">
        <v>46280.65</v>
      </c>
      <c r="F57" s="24">
        <v>11504.24</v>
      </c>
      <c r="G57" s="24">
        <v>93709.46</v>
      </c>
      <c r="H57" s="24">
        <v>0</v>
      </c>
      <c r="I57" s="24">
        <v>41411.919999999998</v>
      </c>
      <c r="J57" s="24">
        <v>22074.98</v>
      </c>
      <c r="K57" s="24">
        <v>51330.95</v>
      </c>
      <c r="L57" s="24">
        <v>10405</v>
      </c>
      <c r="M57" s="24">
        <v>78179.600000000006</v>
      </c>
      <c r="N57" s="24">
        <f t="shared" ref="N57:N72" si="1">SUM(B57:M57)</f>
        <v>498565.69999999995</v>
      </c>
    </row>
    <row r="58" spans="1:14" x14ac:dyDescent="0.25">
      <c r="A58" s="26">
        <v>2012</v>
      </c>
      <c r="B58" s="27">
        <v>6016.7</v>
      </c>
      <c r="C58" s="27">
        <v>0</v>
      </c>
      <c r="D58" s="27">
        <v>272173.48</v>
      </c>
      <c r="E58" s="27">
        <v>9853.1200000000008</v>
      </c>
      <c r="F58" s="27">
        <v>13313.7</v>
      </c>
      <c r="G58" s="27">
        <v>8315.85</v>
      </c>
      <c r="H58" s="27">
        <v>9464.65</v>
      </c>
      <c r="I58" s="27">
        <v>2110.4</v>
      </c>
      <c r="J58" s="27">
        <v>2368</v>
      </c>
      <c r="K58" s="27">
        <v>0</v>
      </c>
      <c r="L58" s="27">
        <v>9172.15</v>
      </c>
      <c r="M58" s="27">
        <v>12995.65</v>
      </c>
      <c r="N58" s="27">
        <f t="shared" si="1"/>
        <v>345783.70000000007</v>
      </c>
    </row>
    <row r="59" spans="1:14" x14ac:dyDescent="0.25">
      <c r="A59" s="23">
        <v>2013</v>
      </c>
      <c r="B59" s="24">
        <v>9000</v>
      </c>
      <c r="C59" s="24">
        <v>6885</v>
      </c>
      <c r="D59" s="24">
        <v>222917.66</v>
      </c>
      <c r="E59" s="24">
        <v>59817.55</v>
      </c>
      <c r="F59" s="24">
        <v>394.4</v>
      </c>
      <c r="G59" s="24">
        <v>24251.24</v>
      </c>
      <c r="H59" s="24">
        <v>3454.21</v>
      </c>
      <c r="I59" s="24">
        <v>39736.85</v>
      </c>
      <c r="J59" s="24">
        <v>245081.41</v>
      </c>
      <c r="K59" s="24">
        <v>6332.89</v>
      </c>
      <c r="L59" s="24">
        <v>15281.25</v>
      </c>
      <c r="M59" s="24">
        <v>19860</v>
      </c>
      <c r="N59" s="24">
        <f t="shared" si="1"/>
        <v>653012.46000000008</v>
      </c>
    </row>
    <row r="60" spans="1:14" x14ac:dyDescent="0.25">
      <c r="A60" s="26">
        <v>2014</v>
      </c>
      <c r="B60" s="27">
        <v>38211.699999999997</v>
      </c>
      <c r="C60" s="27">
        <v>9714.39</v>
      </c>
      <c r="D60" s="27">
        <v>74793.070000000007</v>
      </c>
      <c r="E60" s="27">
        <v>270158.08000000002</v>
      </c>
      <c r="F60" s="27">
        <v>92782.46</v>
      </c>
      <c r="G60" s="27">
        <v>9014.08</v>
      </c>
      <c r="H60" s="27">
        <v>26650.57</v>
      </c>
      <c r="I60" s="27">
        <v>12078.26</v>
      </c>
      <c r="J60" s="27">
        <v>123460.35</v>
      </c>
      <c r="K60" s="27">
        <v>138294.32999999999</v>
      </c>
      <c r="L60" s="27">
        <v>24996.16</v>
      </c>
      <c r="M60" s="27">
        <v>24381.47</v>
      </c>
      <c r="N60" s="27">
        <f t="shared" si="1"/>
        <v>844534.91999999993</v>
      </c>
    </row>
    <row r="61" spans="1:14" x14ac:dyDescent="0.25">
      <c r="A61" s="23">
        <v>2015</v>
      </c>
      <c r="B61" s="24">
        <v>430.2</v>
      </c>
      <c r="C61" s="24">
        <v>13222.02</v>
      </c>
      <c r="D61" s="24">
        <v>118619.54</v>
      </c>
      <c r="E61" s="24">
        <v>53498.21</v>
      </c>
      <c r="F61" s="24">
        <v>251484.85</v>
      </c>
      <c r="G61" s="24">
        <v>108690.8</v>
      </c>
      <c r="H61" s="24">
        <v>82851.87</v>
      </c>
      <c r="I61" s="24">
        <v>221857.22</v>
      </c>
      <c r="J61" s="24">
        <v>13438.53</v>
      </c>
      <c r="K61" s="24">
        <v>165667.24</v>
      </c>
      <c r="L61" s="24">
        <v>58231.71</v>
      </c>
      <c r="M61" s="24">
        <v>7455.68</v>
      </c>
      <c r="N61" s="24">
        <f t="shared" si="1"/>
        <v>1095447.8699999999</v>
      </c>
    </row>
    <row r="62" spans="1:14" x14ac:dyDescent="0.25">
      <c r="A62" s="26">
        <v>2016</v>
      </c>
      <c r="B62" s="27">
        <v>72022.039999999994</v>
      </c>
      <c r="C62" s="27">
        <v>1333.87</v>
      </c>
      <c r="D62" s="27">
        <v>173190.1</v>
      </c>
      <c r="E62" s="27">
        <v>0</v>
      </c>
      <c r="F62" s="27">
        <v>5926.71</v>
      </c>
      <c r="G62" s="27">
        <v>0</v>
      </c>
      <c r="H62" s="27">
        <v>34536.83</v>
      </c>
      <c r="I62" s="27">
        <v>129249.84</v>
      </c>
      <c r="J62" s="27">
        <v>230.94</v>
      </c>
      <c r="K62" s="27">
        <v>146213.87</v>
      </c>
      <c r="L62" s="27">
        <v>71232.600000000006</v>
      </c>
      <c r="M62" s="27">
        <v>20314.5</v>
      </c>
      <c r="N62" s="27">
        <f t="shared" si="1"/>
        <v>654251.29999999993</v>
      </c>
    </row>
    <row r="63" spans="1:14" x14ac:dyDescent="0.25">
      <c r="A63" s="23">
        <v>2017</v>
      </c>
      <c r="B63" s="24">
        <v>230561.94</v>
      </c>
      <c r="C63" s="24">
        <v>4217.0600000000004</v>
      </c>
      <c r="D63" s="24">
        <v>24524.97</v>
      </c>
      <c r="E63" s="24">
        <v>31573.59</v>
      </c>
      <c r="F63" s="24">
        <v>63558.07</v>
      </c>
      <c r="G63" s="24">
        <v>14802.02</v>
      </c>
      <c r="H63" s="24">
        <v>67282.87</v>
      </c>
      <c r="I63" s="24">
        <v>64937.37</v>
      </c>
      <c r="J63" s="24">
        <v>17097.45</v>
      </c>
      <c r="K63" s="24">
        <v>41572.120000000003</v>
      </c>
      <c r="L63" s="24">
        <v>129161.75</v>
      </c>
      <c r="M63" s="24">
        <v>111130.58</v>
      </c>
      <c r="N63" s="24">
        <f t="shared" si="1"/>
        <v>800419.79</v>
      </c>
    </row>
    <row r="64" spans="1:14" x14ac:dyDescent="0.25">
      <c r="A64" s="26">
        <v>2018</v>
      </c>
      <c r="B64" s="27">
        <v>28222.77</v>
      </c>
      <c r="C64" s="27">
        <v>68462.570000000007</v>
      </c>
      <c r="D64" s="27">
        <v>55921.68</v>
      </c>
      <c r="E64" s="27">
        <v>125454.25</v>
      </c>
      <c r="F64" s="27">
        <v>86062.93</v>
      </c>
      <c r="G64" s="27">
        <v>81885.789999999994</v>
      </c>
      <c r="H64" s="27">
        <v>290620.09000000003</v>
      </c>
      <c r="I64" s="27">
        <v>139982.07</v>
      </c>
      <c r="J64" s="27">
        <v>126649.9</v>
      </c>
      <c r="K64" s="27">
        <v>59949.58</v>
      </c>
      <c r="L64" s="27">
        <v>24445.19</v>
      </c>
      <c r="M64" s="27">
        <v>17655.43</v>
      </c>
      <c r="N64" s="27">
        <f t="shared" si="1"/>
        <v>1105312.25</v>
      </c>
    </row>
    <row r="65" spans="1:14" x14ac:dyDescent="0.25">
      <c r="A65" s="23">
        <v>2019</v>
      </c>
      <c r="B65" s="24">
        <v>28830.67</v>
      </c>
      <c r="C65" s="24">
        <v>31165.4</v>
      </c>
      <c r="D65" s="24">
        <v>43051.519999999997</v>
      </c>
      <c r="E65" s="24">
        <v>10640.52</v>
      </c>
      <c r="F65" s="24">
        <v>72350.55</v>
      </c>
      <c r="G65" s="24">
        <v>58946.99</v>
      </c>
      <c r="H65" s="24">
        <v>95984.19</v>
      </c>
      <c r="I65" s="24">
        <v>60261.61</v>
      </c>
      <c r="J65" s="24">
        <v>432907.71</v>
      </c>
      <c r="K65" s="24">
        <v>46018.01</v>
      </c>
      <c r="L65" s="24">
        <v>131238.43</v>
      </c>
      <c r="M65" s="24">
        <v>5262.43</v>
      </c>
      <c r="N65" s="24">
        <f t="shared" si="1"/>
        <v>1016658.0299999999</v>
      </c>
    </row>
    <row r="66" spans="1:14" x14ac:dyDescent="0.25">
      <c r="A66" s="26">
        <v>2020</v>
      </c>
      <c r="B66" s="27">
        <v>439460.93</v>
      </c>
      <c r="C66" s="27">
        <v>57261.04</v>
      </c>
      <c r="D66" s="27">
        <v>7545.35</v>
      </c>
      <c r="E66" s="27">
        <v>112345.66</v>
      </c>
      <c r="F66" s="27">
        <v>37383.5</v>
      </c>
      <c r="G66" s="27">
        <v>19084.36</v>
      </c>
      <c r="H66" s="27">
        <v>22998.97</v>
      </c>
      <c r="I66" s="27">
        <v>122.72</v>
      </c>
      <c r="J66" s="27">
        <v>733.5</v>
      </c>
      <c r="K66" s="27">
        <v>9508.7000000000007</v>
      </c>
      <c r="L66" s="27">
        <v>188367.77</v>
      </c>
      <c r="M66" s="27">
        <v>70557.16</v>
      </c>
      <c r="N66" s="27">
        <f t="shared" si="1"/>
        <v>965369.65999999992</v>
      </c>
    </row>
    <row r="67" spans="1:14" x14ac:dyDescent="0.25">
      <c r="A67" s="23">
        <v>2021</v>
      </c>
      <c r="B67" s="24">
        <v>33426.400000000001</v>
      </c>
      <c r="C67" s="24">
        <v>126852.66</v>
      </c>
      <c r="D67" s="24">
        <v>119359.45</v>
      </c>
      <c r="E67" s="24">
        <v>28573.05</v>
      </c>
      <c r="F67" s="24">
        <v>41221.29</v>
      </c>
      <c r="G67" s="24">
        <v>55937.77</v>
      </c>
      <c r="H67" s="24">
        <v>12681.07</v>
      </c>
      <c r="I67" s="24">
        <v>85620.99</v>
      </c>
      <c r="J67" s="24">
        <v>157701.64000000001</v>
      </c>
      <c r="K67" s="24">
        <v>37500.79</v>
      </c>
      <c r="L67" s="24">
        <v>46712.11</v>
      </c>
      <c r="M67" s="24">
        <v>101235.12</v>
      </c>
      <c r="N67" s="24">
        <f t="shared" si="1"/>
        <v>846822.34000000008</v>
      </c>
    </row>
    <row r="68" spans="1:14" x14ac:dyDescent="0.25">
      <c r="A68" s="26">
        <v>2022</v>
      </c>
      <c r="B68" s="27">
        <v>5637.6</v>
      </c>
      <c r="C68" s="27">
        <v>300035.43</v>
      </c>
      <c r="D68" s="27">
        <v>692168.37</v>
      </c>
      <c r="E68" s="27">
        <v>26663.31</v>
      </c>
      <c r="F68" s="27">
        <v>90523.26</v>
      </c>
      <c r="G68" s="27">
        <v>68740.800000000003</v>
      </c>
      <c r="H68" s="27">
        <v>85904.05</v>
      </c>
      <c r="I68" s="27">
        <v>52986.28</v>
      </c>
      <c r="J68" s="27">
        <v>31612.14</v>
      </c>
      <c r="K68" s="27">
        <v>0</v>
      </c>
      <c r="L68" s="27">
        <v>29513.55</v>
      </c>
      <c r="M68" s="27">
        <v>2023.44</v>
      </c>
      <c r="N68" s="27">
        <f t="shared" si="1"/>
        <v>1385808.23</v>
      </c>
    </row>
    <row r="69" spans="1:14" x14ac:dyDescent="0.25">
      <c r="A69" s="23">
        <v>2023</v>
      </c>
      <c r="B69" s="24">
        <v>42009.17</v>
      </c>
      <c r="C69" s="24">
        <v>73170.27</v>
      </c>
      <c r="D69" s="24">
        <v>94.5</v>
      </c>
      <c r="E69" s="24">
        <v>38501</v>
      </c>
      <c r="F69" s="24">
        <v>19593</v>
      </c>
      <c r="G69" s="24">
        <v>77890.02</v>
      </c>
      <c r="H69" s="24">
        <v>90322.95</v>
      </c>
      <c r="I69" s="24">
        <v>30854.25</v>
      </c>
      <c r="J69" s="24">
        <v>94174.59</v>
      </c>
      <c r="K69" s="24">
        <v>79362.929999999993</v>
      </c>
      <c r="L69" s="24">
        <v>278050.34999999998</v>
      </c>
      <c r="M69" s="24">
        <v>511165.57</v>
      </c>
      <c r="N69" s="24">
        <f t="shared" si="1"/>
        <v>1335188.5999999999</v>
      </c>
    </row>
    <row r="70" spans="1:14" x14ac:dyDescent="0.25">
      <c r="A70" s="26">
        <v>2024</v>
      </c>
      <c r="B70" s="27">
        <v>26743.05</v>
      </c>
      <c r="C70" s="27">
        <v>100956.79</v>
      </c>
      <c r="D70" s="27">
        <v>95643.26</v>
      </c>
      <c r="E70" s="27">
        <v>8195.7000000000007</v>
      </c>
      <c r="F70" s="27">
        <v>50765.34</v>
      </c>
      <c r="G70" s="27">
        <v>152462.38</v>
      </c>
      <c r="H70" s="27">
        <v>12484.64</v>
      </c>
      <c r="I70" s="27">
        <v>7980.69</v>
      </c>
      <c r="J70" s="27">
        <v>36620.620000000003</v>
      </c>
      <c r="K70" s="27">
        <v>64938.9</v>
      </c>
      <c r="L70" s="27">
        <v>64043.24</v>
      </c>
      <c r="M70" s="27">
        <v>540456.86</v>
      </c>
      <c r="N70" s="27">
        <f t="shared" si="1"/>
        <v>1161291.47</v>
      </c>
    </row>
    <row r="71" spans="1:14" x14ac:dyDescent="0.25">
      <c r="A71" s="23">
        <v>2025</v>
      </c>
      <c r="B71" s="24">
        <v>399037.61</v>
      </c>
      <c r="C71" s="24">
        <v>1526.86</v>
      </c>
      <c r="D71" s="24">
        <v>34108.410000000003</v>
      </c>
      <c r="E71" s="24">
        <v>14330.6</v>
      </c>
      <c r="F71" s="24">
        <v>4634.3</v>
      </c>
      <c r="G71" s="24">
        <v>47481.74</v>
      </c>
      <c r="H71" s="24">
        <v>62572.25</v>
      </c>
      <c r="I71" s="24">
        <v>107029.35</v>
      </c>
      <c r="J71" s="24">
        <v>4096.92</v>
      </c>
      <c r="K71" s="24">
        <v>108796.02</v>
      </c>
      <c r="L71" s="24">
        <v>336070.67</v>
      </c>
      <c r="M71" s="24">
        <v>176382.42</v>
      </c>
      <c r="N71" s="24">
        <f t="shared" si="1"/>
        <v>1296067.1499999999</v>
      </c>
    </row>
    <row r="72" spans="1:14" x14ac:dyDescent="0.25">
      <c r="A72" s="29">
        <v>2026</v>
      </c>
      <c r="B72" s="30">
        <v>32020.17</v>
      </c>
      <c r="C72" s="30">
        <v>78565.289999999994</v>
      </c>
      <c r="D72" s="30">
        <v>88547.91</v>
      </c>
      <c r="E72" s="30">
        <v>36334.089999999997</v>
      </c>
      <c r="F72" s="30">
        <v>45797.8</v>
      </c>
      <c r="G72" s="30">
        <v>66020.17</v>
      </c>
      <c r="H72" s="30">
        <v>273434.59999999998</v>
      </c>
      <c r="I72" s="30">
        <v>0</v>
      </c>
      <c r="J72" s="30">
        <v>0</v>
      </c>
      <c r="K72" s="30">
        <v>0</v>
      </c>
      <c r="L72" s="30">
        <v>0</v>
      </c>
      <c r="M72" s="30">
        <v>523371.08</v>
      </c>
      <c r="N72" s="30">
        <f t="shared" si="1"/>
        <v>1144091.1100000001</v>
      </c>
    </row>
    <row r="85" spans="1:14" x14ac:dyDescent="0.25">
      <c r="A85" s="71" t="s">
        <v>237</v>
      </c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</row>
    <row r="86" spans="1:14" x14ac:dyDescent="0.25">
      <c r="A86" s="22" t="s">
        <v>214</v>
      </c>
      <c r="B86" s="22" t="s">
        <v>224</v>
      </c>
      <c r="C86" s="22" t="s">
        <v>225</v>
      </c>
      <c r="D86" s="22" t="s">
        <v>226</v>
      </c>
      <c r="E86" s="22" t="s">
        <v>227</v>
      </c>
      <c r="F86" s="22" t="s">
        <v>228</v>
      </c>
      <c r="G86" s="22" t="s">
        <v>229</v>
      </c>
      <c r="H86" s="22" t="s">
        <v>230</v>
      </c>
      <c r="I86" s="22" t="s">
        <v>231</v>
      </c>
      <c r="J86" s="22" t="s">
        <v>232</v>
      </c>
      <c r="K86" s="22" t="s">
        <v>233</v>
      </c>
      <c r="L86" s="22" t="s">
        <v>234</v>
      </c>
      <c r="M86" s="22" t="s">
        <v>235</v>
      </c>
      <c r="N86" s="22" t="s">
        <v>222</v>
      </c>
    </row>
    <row r="87" spans="1:14" x14ac:dyDescent="0.25">
      <c r="A87" s="23">
        <v>2011</v>
      </c>
      <c r="B87" s="24">
        <v>0</v>
      </c>
      <c r="C87" s="24">
        <v>0</v>
      </c>
      <c r="D87" s="24">
        <v>0</v>
      </c>
      <c r="E87" s="24">
        <v>0</v>
      </c>
      <c r="F87" s="24">
        <v>5468.28</v>
      </c>
      <c r="G87" s="24">
        <v>0</v>
      </c>
      <c r="H87" s="24">
        <v>4773.72</v>
      </c>
      <c r="I87" s="24">
        <v>13919.66</v>
      </c>
      <c r="J87" s="24">
        <v>1104</v>
      </c>
      <c r="K87" s="24">
        <v>0</v>
      </c>
      <c r="L87" s="24">
        <v>43210</v>
      </c>
      <c r="M87" s="24">
        <v>363</v>
      </c>
      <c r="N87" s="24">
        <f t="shared" ref="N87:N102" si="2">SUM(B87:M87)</f>
        <v>68838.66</v>
      </c>
    </row>
    <row r="88" spans="1:14" x14ac:dyDescent="0.25">
      <c r="A88" s="26">
        <v>2012</v>
      </c>
      <c r="B88" s="27">
        <v>0</v>
      </c>
      <c r="C88" s="27">
        <v>13861.19</v>
      </c>
      <c r="D88" s="27">
        <v>1073</v>
      </c>
      <c r="E88" s="27">
        <v>1053</v>
      </c>
      <c r="F88" s="27">
        <v>3010</v>
      </c>
      <c r="G88" s="27">
        <v>2677.05</v>
      </c>
      <c r="H88" s="27">
        <v>0</v>
      </c>
      <c r="I88" s="27">
        <v>105568.43</v>
      </c>
      <c r="J88" s="27">
        <v>53389.23</v>
      </c>
      <c r="K88" s="27">
        <v>509</v>
      </c>
      <c r="L88" s="27">
        <v>1642.88</v>
      </c>
      <c r="M88" s="27">
        <v>0</v>
      </c>
      <c r="N88" s="27">
        <f t="shared" si="2"/>
        <v>182783.78</v>
      </c>
    </row>
    <row r="89" spans="1:14" x14ac:dyDescent="0.25">
      <c r="A89" s="23">
        <v>2013</v>
      </c>
      <c r="B89" s="24">
        <v>1659.12</v>
      </c>
      <c r="C89" s="24">
        <v>14352.53</v>
      </c>
      <c r="D89" s="24">
        <v>15850.32</v>
      </c>
      <c r="E89" s="24">
        <v>59939.15</v>
      </c>
      <c r="F89" s="24">
        <v>38156.949999999997</v>
      </c>
      <c r="G89" s="24">
        <v>3181.34</v>
      </c>
      <c r="H89" s="24">
        <v>14384.07</v>
      </c>
      <c r="I89" s="24">
        <v>26043.82</v>
      </c>
      <c r="J89" s="24">
        <v>11998.09</v>
      </c>
      <c r="K89" s="24">
        <v>2709.1</v>
      </c>
      <c r="L89" s="24">
        <v>0</v>
      </c>
      <c r="M89" s="24">
        <v>12296</v>
      </c>
      <c r="N89" s="24">
        <f t="shared" si="2"/>
        <v>200570.49000000002</v>
      </c>
    </row>
    <row r="90" spans="1:14" x14ac:dyDescent="0.25">
      <c r="A90" s="26">
        <v>2014</v>
      </c>
      <c r="B90" s="27">
        <v>3588</v>
      </c>
      <c r="C90" s="27">
        <v>24847.99</v>
      </c>
      <c r="D90" s="27">
        <v>0</v>
      </c>
      <c r="E90" s="27">
        <v>14548</v>
      </c>
      <c r="F90" s="27">
        <v>3520</v>
      </c>
      <c r="G90" s="27">
        <v>34875.43</v>
      </c>
      <c r="H90" s="27">
        <v>2055</v>
      </c>
      <c r="I90" s="27">
        <v>360</v>
      </c>
      <c r="J90" s="27">
        <v>0</v>
      </c>
      <c r="K90" s="27">
        <v>9068.2999999999993</v>
      </c>
      <c r="L90" s="27">
        <v>0</v>
      </c>
      <c r="M90" s="27">
        <v>1028.5</v>
      </c>
      <c r="N90" s="27">
        <f t="shared" si="2"/>
        <v>93891.220000000016</v>
      </c>
    </row>
    <row r="91" spans="1:14" x14ac:dyDescent="0.25">
      <c r="A91" s="23">
        <v>2015</v>
      </c>
      <c r="B91" s="24">
        <v>14229.12</v>
      </c>
      <c r="C91" s="24">
        <v>7866.1</v>
      </c>
      <c r="D91" s="24">
        <v>984.48</v>
      </c>
      <c r="E91" s="24">
        <v>7838.49</v>
      </c>
      <c r="F91" s="24">
        <v>1217.6600000000001</v>
      </c>
      <c r="G91" s="24">
        <v>4848.4399999999996</v>
      </c>
      <c r="H91" s="24">
        <v>0</v>
      </c>
      <c r="I91" s="24">
        <v>0</v>
      </c>
      <c r="J91" s="24">
        <v>33908.81</v>
      </c>
      <c r="K91" s="24">
        <v>25648.62</v>
      </c>
      <c r="L91" s="24">
        <v>5282.88</v>
      </c>
      <c r="M91" s="24">
        <v>5856.21</v>
      </c>
      <c r="N91" s="24">
        <f t="shared" si="2"/>
        <v>107680.81000000001</v>
      </c>
    </row>
    <row r="92" spans="1:14" x14ac:dyDescent="0.25">
      <c r="A92" s="26">
        <v>2016</v>
      </c>
      <c r="B92" s="27">
        <v>20374.96</v>
      </c>
      <c r="C92" s="27">
        <v>9826.6200000000008</v>
      </c>
      <c r="D92" s="27">
        <v>8226</v>
      </c>
      <c r="E92" s="27">
        <v>93.1</v>
      </c>
      <c r="F92" s="27">
        <v>7169.29</v>
      </c>
      <c r="G92" s="27">
        <v>15061.47</v>
      </c>
      <c r="H92" s="27">
        <v>41332.32</v>
      </c>
      <c r="I92" s="27">
        <v>18089.060000000001</v>
      </c>
      <c r="J92" s="27">
        <v>2625.84</v>
      </c>
      <c r="K92" s="27">
        <v>3397.28</v>
      </c>
      <c r="L92" s="27">
        <v>0</v>
      </c>
      <c r="M92" s="27">
        <v>4403</v>
      </c>
      <c r="N92" s="27">
        <f t="shared" si="2"/>
        <v>130598.94</v>
      </c>
    </row>
    <row r="93" spans="1:14" x14ac:dyDescent="0.25">
      <c r="A93" s="23">
        <v>2017</v>
      </c>
      <c r="B93" s="24">
        <v>2400</v>
      </c>
      <c r="C93" s="24">
        <v>4167</v>
      </c>
      <c r="D93" s="24">
        <v>22372.52</v>
      </c>
      <c r="E93" s="24">
        <v>82325.259999999995</v>
      </c>
      <c r="F93" s="24">
        <v>4413.7</v>
      </c>
      <c r="G93" s="24">
        <v>0</v>
      </c>
      <c r="H93" s="24">
        <v>34010.449999999997</v>
      </c>
      <c r="I93" s="24">
        <v>10047.040000000001</v>
      </c>
      <c r="J93" s="24">
        <v>37740.949999999997</v>
      </c>
      <c r="K93" s="24">
        <v>32464.09</v>
      </c>
      <c r="L93" s="24">
        <v>18921.38</v>
      </c>
      <c r="M93" s="24">
        <v>0</v>
      </c>
      <c r="N93" s="24">
        <f t="shared" si="2"/>
        <v>248862.38999999998</v>
      </c>
    </row>
    <row r="94" spans="1:14" x14ac:dyDescent="0.25">
      <c r="A94" s="26">
        <v>2018</v>
      </c>
      <c r="B94" s="27">
        <v>7968.5</v>
      </c>
      <c r="C94" s="27">
        <v>5401.4</v>
      </c>
      <c r="D94" s="27">
        <v>7433.89</v>
      </c>
      <c r="E94" s="27">
        <v>12606.02</v>
      </c>
      <c r="F94" s="27">
        <v>16316.77</v>
      </c>
      <c r="G94" s="27">
        <v>1800</v>
      </c>
      <c r="H94" s="27">
        <v>10149.57</v>
      </c>
      <c r="I94" s="27">
        <v>12383.67</v>
      </c>
      <c r="J94" s="27">
        <v>12903.52</v>
      </c>
      <c r="K94" s="27">
        <v>131483.24</v>
      </c>
      <c r="L94" s="27">
        <v>37845.1</v>
      </c>
      <c r="M94" s="27">
        <v>3640.16</v>
      </c>
      <c r="N94" s="27">
        <f t="shared" si="2"/>
        <v>259931.84000000003</v>
      </c>
    </row>
    <row r="95" spans="1:14" x14ac:dyDescent="0.25">
      <c r="A95" s="23">
        <v>2019</v>
      </c>
      <c r="B95" s="24">
        <v>466435.24</v>
      </c>
      <c r="C95" s="24">
        <v>13034.94</v>
      </c>
      <c r="D95" s="24">
        <v>233422.76</v>
      </c>
      <c r="E95" s="24">
        <v>76660</v>
      </c>
      <c r="F95" s="24">
        <v>6802</v>
      </c>
      <c r="G95" s="24">
        <v>6953.52</v>
      </c>
      <c r="H95" s="24">
        <v>0</v>
      </c>
      <c r="I95" s="24">
        <v>33360.32</v>
      </c>
      <c r="J95" s="24">
        <v>14014.59</v>
      </c>
      <c r="K95" s="24">
        <v>25336.44</v>
      </c>
      <c r="L95" s="24">
        <v>17553.990000000002</v>
      </c>
      <c r="M95" s="24">
        <v>2355.1799999999998</v>
      </c>
      <c r="N95" s="24">
        <f t="shared" si="2"/>
        <v>895928.97999999986</v>
      </c>
    </row>
    <row r="96" spans="1:14" x14ac:dyDescent="0.25">
      <c r="A96" s="26">
        <v>2020</v>
      </c>
      <c r="B96" s="27">
        <v>101614.12</v>
      </c>
      <c r="C96" s="27">
        <v>13024.59</v>
      </c>
      <c r="D96" s="27">
        <v>3089.01</v>
      </c>
      <c r="E96" s="27">
        <v>390</v>
      </c>
      <c r="F96" s="27">
        <v>48185.67</v>
      </c>
      <c r="G96" s="27">
        <v>4778.6400000000003</v>
      </c>
      <c r="H96" s="27">
        <v>835.36</v>
      </c>
      <c r="I96" s="27">
        <v>84176.5</v>
      </c>
      <c r="J96" s="27">
        <v>17431.97</v>
      </c>
      <c r="K96" s="27">
        <v>0</v>
      </c>
      <c r="L96" s="27">
        <v>6427.5</v>
      </c>
      <c r="M96" s="27">
        <v>27590.720000000001</v>
      </c>
      <c r="N96" s="27">
        <f t="shared" si="2"/>
        <v>307544.07999999996</v>
      </c>
    </row>
    <row r="97" spans="1:14" x14ac:dyDescent="0.25">
      <c r="A97" s="23">
        <v>2021</v>
      </c>
      <c r="B97" s="24">
        <v>3420</v>
      </c>
      <c r="C97" s="24">
        <v>450</v>
      </c>
      <c r="D97" s="24">
        <v>25941.8</v>
      </c>
      <c r="E97" s="24">
        <v>365</v>
      </c>
      <c r="F97" s="24">
        <v>6052.51</v>
      </c>
      <c r="G97" s="24">
        <v>3531.68</v>
      </c>
      <c r="H97" s="24">
        <v>0</v>
      </c>
      <c r="I97" s="24">
        <v>4689.0200000000004</v>
      </c>
      <c r="J97" s="24">
        <v>19843.580000000002</v>
      </c>
      <c r="K97" s="24">
        <v>14295.16</v>
      </c>
      <c r="L97" s="24">
        <v>114442.35</v>
      </c>
      <c r="M97" s="24">
        <v>14476.34</v>
      </c>
      <c r="N97" s="24">
        <f t="shared" si="2"/>
        <v>207507.44</v>
      </c>
    </row>
    <row r="98" spans="1:14" x14ac:dyDescent="0.25">
      <c r="A98" s="26">
        <v>2022</v>
      </c>
      <c r="B98" s="27">
        <v>67901.98</v>
      </c>
      <c r="C98" s="27">
        <v>0</v>
      </c>
      <c r="D98" s="27">
        <v>8327.98</v>
      </c>
      <c r="E98" s="27">
        <v>3376.22</v>
      </c>
      <c r="F98" s="27">
        <v>388.73</v>
      </c>
      <c r="G98" s="27">
        <v>390</v>
      </c>
      <c r="H98" s="27">
        <v>8060</v>
      </c>
      <c r="I98" s="27">
        <v>6960</v>
      </c>
      <c r="J98" s="27">
        <v>49249.2</v>
      </c>
      <c r="K98" s="27">
        <v>1470</v>
      </c>
      <c r="L98" s="27">
        <v>16281.31</v>
      </c>
      <c r="M98" s="27">
        <v>0</v>
      </c>
      <c r="N98" s="27">
        <f t="shared" si="2"/>
        <v>162405.41999999998</v>
      </c>
    </row>
    <row r="99" spans="1:14" x14ac:dyDescent="0.25">
      <c r="A99" s="23">
        <v>2023</v>
      </c>
      <c r="B99" s="24">
        <v>6048.14</v>
      </c>
      <c r="C99" s="24">
        <v>1986.99</v>
      </c>
      <c r="D99" s="24">
        <v>1686</v>
      </c>
      <c r="E99" s="24">
        <v>64.08</v>
      </c>
      <c r="F99" s="24">
        <v>0</v>
      </c>
      <c r="G99" s="24">
        <v>670</v>
      </c>
      <c r="H99" s="24">
        <v>0</v>
      </c>
      <c r="I99" s="24">
        <v>0</v>
      </c>
      <c r="J99" s="24">
        <v>0</v>
      </c>
      <c r="K99" s="24">
        <v>51994.16</v>
      </c>
      <c r="L99" s="24">
        <v>58893.71</v>
      </c>
      <c r="M99" s="24">
        <v>131402.06</v>
      </c>
      <c r="N99" s="24">
        <f t="shared" si="2"/>
        <v>252745.14</v>
      </c>
    </row>
    <row r="100" spans="1:14" x14ac:dyDescent="0.25">
      <c r="A100" s="26">
        <v>2024</v>
      </c>
      <c r="B100" s="27">
        <v>0</v>
      </c>
      <c r="C100" s="27">
        <v>184968.58</v>
      </c>
      <c r="D100" s="27">
        <v>0</v>
      </c>
      <c r="E100" s="27">
        <v>5100</v>
      </c>
      <c r="F100" s="27">
        <v>290</v>
      </c>
      <c r="G100" s="27">
        <v>13314.54</v>
      </c>
      <c r="H100" s="27">
        <v>0</v>
      </c>
      <c r="I100" s="27">
        <v>410</v>
      </c>
      <c r="J100" s="27">
        <v>3609.27</v>
      </c>
      <c r="K100" s="27">
        <v>760</v>
      </c>
      <c r="L100" s="27">
        <v>9815</v>
      </c>
      <c r="M100" s="27">
        <v>34989.64</v>
      </c>
      <c r="N100" s="27">
        <f t="shared" si="2"/>
        <v>253257.02999999997</v>
      </c>
    </row>
    <row r="101" spans="1:14" x14ac:dyDescent="0.25">
      <c r="A101" s="23">
        <v>2025</v>
      </c>
      <c r="B101" s="24">
        <v>4326.68</v>
      </c>
      <c r="C101" s="24">
        <v>0</v>
      </c>
      <c r="D101" s="24">
        <v>4039.69</v>
      </c>
      <c r="E101" s="24">
        <v>6892.8</v>
      </c>
      <c r="F101" s="24">
        <v>9505.41</v>
      </c>
      <c r="G101" s="24">
        <v>5401.51</v>
      </c>
      <c r="H101" s="24">
        <v>1178.96</v>
      </c>
      <c r="I101" s="24">
        <v>0</v>
      </c>
      <c r="J101" s="24">
        <v>0</v>
      </c>
      <c r="K101" s="24">
        <v>0</v>
      </c>
      <c r="L101" s="24">
        <v>8130</v>
      </c>
      <c r="M101" s="24">
        <v>194620</v>
      </c>
      <c r="N101" s="24">
        <f t="shared" si="2"/>
        <v>234095.05</v>
      </c>
    </row>
    <row r="102" spans="1:14" x14ac:dyDescent="0.25">
      <c r="A102" s="29">
        <v>2026</v>
      </c>
      <c r="B102" s="30">
        <v>0</v>
      </c>
      <c r="C102" s="30">
        <v>170600</v>
      </c>
      <c r="D102" s="30">
        <v>4640</v>
      </c>
      <c r="E102" s="30">
        <v>0</v>
      </c>
      <c r="F102" s="30">
        <v>1420</v>
      </c>
      <c r="G102" s="30">
        <v>21848.799999999999</v>
      </c>
      <c r="H102" s="30">
        <v>3080</v>
      </c>
      <c r="I102" s="30">
        <v>0</v>
      </c>
      <c r="J102" s="30">
        <v>0</v>
      </c>
      <c r="K102" s="30">
        <v>0</v>
      </c>
      <c r="L102" s="30">
        <v>0</v>
      </c>
      <c r="M102" s="30">
        <v>32050</v>
      </c>
      <c r="N102" s="30">
        <f t="shared" si="2"/>
        <v>233638.8</v>
      </c>
    </row>
    <row r="115" spans="1:14" x14ac:dyDescent="0.25">
      <c r="A115" s="71" t="s">
        <v>238</v>
      </c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</row>
    <row r="116" spans="1:14" x14ac:dyDescent="0.25">
      <c r="A116" s="22" t="s">
        <v>214</v>
      </c>
      <c r="B116" s="22" t="s">
        <v>224</v>
      </c>
      <c r="C116" s="22" t="s">
        <v>225</v>
      </c>
      <c r="D116" s="22" t="s">
        <v>226</v>
      </c>
      <c r="E116" s="22" t="s">
        <v>227</v>
      </c>
      <c r="F116" s="22" t="s">
        <v>228</v>
      </c>
      <c r="G116" s="22" t="s">
        <v>229</v>
      </c>
      <c r="H116" s="22" t="s">
        <v>230</v>
      </c>
      <c r="I116" s="22" t="s">
        <v>231</v>
      </c>
      <c r="J116" s="22" t="s">
        <v>232</v>
      </c>
      <c r="K116" s="22" t="s">
        <v>233</v>
      </c>
      <c r="L116" s="22" t="s">
        <v>234</v>
      </c>
      <c r="M116" s="22" t="s">
        <v>235</v>
      </c>
      <c r="N116" s="22" t="s">
        <v>222</v>
      </c>
    </row>
    <row r="117" spans="1:14" x14ac:dyDescent="0.25">
      <c r="A117" s="23">
        <v>2011</v>
      </c>
      <c r="B117" s="24">
        <v>0</v>
      </c>
      <c r="C117" s="24">
        <v>0</v>
      </c>
      <c r="D117" s="24">
        <v>0</v>
      </c>
      <c r="E117" s="24">
        <v>0</v>
      </c>
      <c r="F117" s="24">
        <v>0</v>
      </c>
      <c r="G117" s="24">
        <v>0</v>
      </c>
      <c r="H117" s="24">
        <v>0</v>
      </c>
      <c r="I117" s="24">
        <v>0</v>
      </c>
      <c r="J117" s="24">
        <v>0</v>
      </c>
      <c r="K117" s="24">
        <v>0</v>
      </c>
      <c r="L117" s="24">
        <v>0</v>
      </c>
      <c r="M117" s="24">
        <v>0</v>
      </c>
      <c r="N117" s="24">
        <f t="shared" ref="N117:N132" si="3">SUM(B117:M117)</f>
        <v>0</v>
      </c>
    </row>
    <row r="118" spans="1:14" x14ac:dyDescent="0.25">
      <c r="A118" s="26">
        <v>2012</v>
      </c>
      <c r="B118" s="27">
        <v>0</v>
      </c>
      <c r="C118" s="27">
        <v>0</v>
      </c>
      <c r="D118" s="27">
        <v>0</v>
      </c>
      <c r="E118" s="27">
        <v>0</v>
      </c>
      <c r="F118" s="27">
        <v>0</v>
      </c>
      <c r="G118" s="27">
        <v>0</v>
      </c>
      <c r="H118" s="27">
        <v>0</v>
      </c>
      <c r="I118" s="27">
        <v>0</v>
      </c>
      <c r="J118" s="27">
        <v>0</v>
      </c>
      <c r="K118" s="27">
        <v>0</v>
      </c>
      <c r="L118" s="27">
        <v>0</v>
      </c>
      <c r="M118" s="27">
        <v>0</v>
      </c>
      <c r="N118" s="27">
        <f t="shared" si="3"/>
        <v>0</v>
      </c>
    </row>
    <row r="119" spans="1:14" x14ac:dyDescent="0.25">
      <c r="A119" s="23">
        <v>2013</v>
      </c>
      <c r="B119" s="24">
        <v>0</v>
      </c>
      <c r="C119" s="24">
        <v>0</v>
      </c>
      <c r="D119" s="24">
        <v>0</v>
      </c>
      <c r="E119" s="24">
        <v>0</v>
      </c>
      <c r="F119" s="24">
        <v>0</v>
      </c>
      <c r="G119" s="24">
        <v>0</v>
      </c>
      <c r="H119" s="24">
        <v>0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f t="shared" si="3"/>
        <v>0</v>
      </c>
    </row>
    <row r="120" spans="1:14" x14ac:dyDescent="0.25">
      <c r="A120" s="26">
        <v>2014</v>
      </c>
      <c r="B120" s="27">
        <v>0</v>
      </c>
      <c r="C120" s="27">
        <v>0</v>
      </c>
      <c r="D120" s="27">
        <v>0</v>
      </c>
      <c r="E120" s="27">
        <v>0</v>
      </c>
      <c r="F120" s="27">
        <v>0</v>
      </c>
      <c r="G120" s="27">
        <v>0</v>
      </c>
      <c r="H120" s="27">
        <v>0</v>
      </c>
      <c r="I120" s="27">
        <v>0</v>
      </c>
      <c r="J120" s="27">
        <v>0</v>
      </c>
      <c r="K120" s="27">
        <v>0</v>
      </c>
      <c r="L120" s="27">
        <v>0</v>
      </c>
      <c r="M120" s="27">
        <v>0</v>
      </c>
      <c r="N120" s="27">
        <f t="shared" si="3"/>
        <v>0</v>
      </c>
    </row>
    <row r="121" spans="1:14" x14ac:dyDescent="0.25">
      <c r="A121" s="23">
        <v>2015</v>
      </c>
      <c r="B121" s="24">
        <v>0</v>
      </c>
      <c r="C121" s="24">
        <v>0</v>
      </c>
      <c r="D121" s="24">
        <v>0</v>
      </c>
      <c r="E121" s="24">
        <v>0</v>
      </c>
      <c r="F121" s="24">
        <v>0</v>
      </c>
      <c r="G121" s="24">
        <v>0</v>
      </c>
      <c r="H121" s="24">
        <v>0</v>
      </c>
      <c r="I121" s="24">
        <v>0</v>
      </c>
      <c r="J121" s="24">
        <v>0</v>
      </c>
      <c r="K121" s="24">
        <v>0</v>
      </c>
      <c r="L121" s="24">
        <v>0</v>
      </c>
      <c r="M121" s="24">
        <v>0</v>
      </c>
      <c r="N121" s="24">
        <f t="shared" si="3"/>
        <v>0</v>
      </c>
    </row>
    <row r="122" spans="1:14" x14ac:dyDescent="0.25">
      <c r="A122" s="26">
        <v>2016</v>
      </c>
      <c r="B122" s="27">
        <v>0</v>
      </c>
      <c r="C122" s="27">
        <v>0</v>
      </c>
      <c r="D122" s="27">
        <v>0</v>
      </c>
      <c r="E122" s="27">
        <v>0</v>
      </c>
      <c r="F122" s="27">
        <v>0</v>
      </c>
      <c r="G122" s="27">
        <v>0</v>
      </c>
      <c r="H122" s="27">
        <v>0</v>
      </c>
      <c r="I122" s="27">
        <v>0</v>
      </c>
      <c r="J122" s="27">
        <v>0</v>
      </c>
      <c r="K122" s="27">
        <v>0</v>
      </c>
      <c r="L122" s="27">
        <v>0</v>
      </c>
      <c r="M122" s="27">
        <v>0</v>
      </c>
      <c r="N122" s="27">
        <f t="shared" si="3"/>
        <v>0</v>
      </c>
    </row>
    <row r="123" spans="1:14" x14ac:dyDescent="0.25">
      <c r="A123" s="23">
        <v>2017</v>
      </c>
      <c r="B123" s="24">
        <v>0</v>
      </c>
      <c r="C123" s="24">
        <v>0</v>
      </c>
      <c r="D123" s="24">
        <v>0</v>
      </c>
      <c r="E123" s="24">
        <v>0</v>
      </c>
      <c r="F123" s="24">
        <v>0</v>
      </c>
      <c r="G123" s="24">
        <v>0</v>
      </c>
      <c r="H123" s="24">
        <v>0</v>
      </c>
      <c r="I123" s="24">
        <v>0</v>
      </c>
      <c r="J123" s="24">
        <v>0</v>
      </c>
      <c r="K123" s="24">
        <v>0</v>
      </c>
      <c r="L123" s="24">
        <v>0</v>
      </c>
      <c r="M123" s="24">
        <v>0</v>
      </c>
      <c r="N123" s="24">
        <f t="shared" si="3"/>
        <v>0</v>
      </c>
    </row>
    <row r="124" spans="1:14" x14ac:dyDescent="0.25">
      <c r="A124" s="26">
        <v>2018</v>
      </c>
      <c r="B124" s="27">
        <v>0</v>
      </c>
      <c r="C124" s="27">
        <v>0</v>
      </c>
      <c r="D124" s="27">
        <v>0</v>
      </c>
      <c r="E124" s="27">
        <v>487</v>
      </c>
      <c r="F124" s="27">
        <v>1600</v>
      </c>
      <c r="G124" s="27">
        <v>0</v>
      </c>
      <c r="H124" s="27">
        <v>4000</v>
      </c>
      <c r="I124" s="27">
        <v>49860</v>
      </c>
      <c r="J124" s="27">
        <v>45409.77</v>
      </c>
      <c r="K124" s="27">
        <v>84970</v>
      </c>
      <c r="L124" s="27">
        <v>17700</v>
      </c>
      <c r="M124" s="27">
        <v>0</v>
      </c>
      <c r="N124" s="27">
        <f t="shared" si="3"/>
        <v>204026.77</v>
      </c>
    </row>
    <row r="125" spans="1:14" x14ac:dyDescent="0.25">
      <c r="A125" s="23">
        <v>2019</v>
      </c>
      <c r="B125" s="24">
        <v>700</v>
      </c>
      <c r="C125" s="24">
        <v>0</v>
      </c>
      <c r="D125" s="24">
        <v>600</v>
      </c>
      <c r="E125" s="24">
        <v>4277.0200000000004</v>
      </c>
      <c r="F125" s="24">
        <v>0</v>
      </c>
      <c r="G125" s="24">
        <v>1800</v>
      </c>
      <c r="H125" s="24">
        <v>0</v>
      </c>
      <c r="I125" s="24">
        <v>2929.61</v>
      </c>
      <c r="J125" s="24">
        <v>262354.92</v>
      </c>
      <c r="K125" s="24">
        <v>15217.6</v>
      </c>
      <c r="L125" s="24">
        <v>125619.62</v>
      </c>
      <c r="M125" s="24">
        <v>2050</v>
      </c>
      <c r="N125" s="24">
        <f t="shared" si="3"/>
        <v>415548.76999999996</v>
      </c>
    </row>
    <row r="126" spans="1:14" x14ac:dyDescent="0.25">
      <c r="A126" s="26">
        <v>2020</v>
      </c>
      <c r="B126" s="27">
        <v>250</v>
      </c>
      <c r="C126" s="27">
        <v>880</v>
      </c>
      <c r="D126" s="27">
        <v>0</v>
      </c>
      <c r="E126" s="27">
        <v>56000</v>
      </c>
      <c r="F126" s="27">
        <v>15000</v>
      </c>
      <c r="G126" s="27">
        <v>0</v>
      </c>
      <c r="H126" s="27">
        <v>8827.51</v>
      </c>
      <c r="I126" s="27">
        <v>5150</v>
      </c>
      <c r="J126" s="27">
        <v>4980</v>
      </c>
      <c r="K126" s="27">
        <v>4069</v>
      </c>
      <c r="L126" s="27">
        <v>12035</v>
      </c>
      <c r="M126" s="27">
        <v>216995.41</v>
      </c>
      <c r="N126" s="27">
        <f t="shared" si="3"/>
        <v>324186.92</v>
      </c>
    </row>
    <row r="127" spans="1:14" x14ac:dyDescent="0.25">
      <c r="A127" s="23">
        <v>2021</v>
      </c>
      <c r="B127" s="24">
        <v>3000</v>
      </c>
      <c r="C127" s="24">
        <v>0</v>
      </c>
      <c r="D127" s="24">
        <v>0</v>
      </c>
      <c r="E127" s="24">
        <v>0</v>
      </c>
      <c r="F127" s="24">
        <v>0</v>
      </c>
      <c r="G127" s="24">
        <v>0</v>
      </c>
      <c r="H127" s="24">
        <v>111530.38</v>
      </c>
      <c r="I127" s="24">
        <v>0</v>
      </c>
      <c r="J127" s="24">
        <v>0</v>
      </c>
      <c r="K127" s="24">
        <v>0</v>
      </c>
      <c r="L127" s="24">
        <v>0</v>
      </c>
      <c r="M127" s="24">
        <v>9920</v>
      </c>
      <c r="N127" s="24">
        <f t="shared" si="3"/>
        <v>124450.38</v>
      </c>
    </row>
    <row r="128" spans="1:14" x14ac:dyDescent="0.25">
      <c r="A128" s="26">
        <v>2022</v>
      </c>
      <c r="B128" s="27">
        <v>0</v>
      </c>
      <c r="C128" s="27">
        <v>5415.99</v>
      </c>
      <c r="D128" s="27">
        <v>0</v>
      </c>
      <c r="E128" s="27">
        <v>3665.24</v>
      </c>
      <c r="F128" s="27">
        <v>27340.77</v>
      </c>
      <c r="G128" s="27">
        <v>0</v>
      </c>
      <c r="H128" s="27">
        <v>0</v>
      </c>
      <c r="I128" s="27">
        <v>0</v>
      </c>
      <c r="J128" s="27">
        <v>0</v>
      </c>
      <c r="K128" s="27">
        <v>0</v>
      </c>
      <c r="L128" s="27">
        <v>0</v>
      </c>
      <c r="M128" s="27">
        <v>0</v>
      </c>
      <c r="N128" s="27">
        <f t="shared" si="3"/>
        <v>36422</v>
      </c>
    </row>
    <row r="129" spans="1:14" x14ac:dyDescent="0.25">
      <c r="A129" s="23">
        <v>2023</v>
      </c>
      <c r="B129" s="24">
        <v>0</v>
      </c>
      <c r="C129" s="24">
        <v>0</v>
      </c>
      <c r="D129" s="24">
        <v>0</v>
      </c>
      <c r="E129" s="24">
        <v>0</v>
      </c>
      <c r="F129" s="24">
        <v>0</v>
      </c>
      <c r="G129" s="24">
        <v>0</v>
      </c>
      <c r="H129" s="24">
        <v>0</v>
      </c>
      <c r="I129" s="24">
        <v>0</v>
      </c>
      <c r="J129" s="24">
        <v>0</v>
      </c>
      <c r="K129" s="24">
        <v>0</v>
      </c>
      <c r="L129" s="24">
        <v>0</v>
      </c>
      <c r="M129" s="24">
        <v>0</v>
      </c>
      <c r="N129" s="24">
        <f t="shared" si="3"/>
        <v>0</v>
      </c>
    </row>
    <row r="130" spans="1:14" x14ac:dyDescent="0.25">
      <c r="A130" s="26">
        <v>2024</v>
      </c>
      <c r="B130" s="27">
        <v>0</v>
      </c>
      <c r="C130" s="27">
        <v>0</v>
      </c>
      <c r="D130" s="27">
        <v>0</v>
      </c>
      <c r="E130" s="27">
        <v>0</v>
      </c>
      <c r="F130" s="27">
        <v>0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2114</v>
      </c>
      <c r="M130" s="27">
        <v>0</v>
      </c>
      <c r="N130" s="27">
        <f t="shared" si="3"/>
        <v>2114</v>
      </c>
    </row>
    <row r="131" spans="1:14" x14ac:dyDescent="0.25">
      <c r="A131" s="23">
        <v>2025</v>
      </c>
      <c r="B131" s="24">
        <v>0</v>
      </c>
      <c r="C131" s="24">
        <v>0</v>
      </c>
      <c r="D131" s="24">
        <v>0</v>
      </c>
      <c r="E131" s="24">
        <v>0</v>
      </c>
      <c r="F131" s="24">
        <v>0</v>
      </c>
      <c r="G131" s="24">
        <v>11821.2</v>
      </c>
      <c r="H131" s="24">
        <v>0</v>
      </c>
      <c r="I131" s="24">
        <v>0</v>
      </c>
      <c r="J131" s="24">
        <v>0</v>
      </c>
      <c r="K131" s="24">
        <v>0</v>
      </c>
      <c r="L131" s="24">
        <v>608.5</v>
      </c>
      <c r="M131" s="24">
        <v>5950</v>
      </c>
      <c r="N131" s="24">
        <f t="shared" si="3"/>
        <v>18379.7</v>
      </c>
    </row>
    <row r="132" spans="1:14" x14ac:dyDescent="0.25">
      <c r="A132" s="29">
        <v>2026</v>
      </c>
      <c r="B132" s="30">
        <v>0</v>
      </c>
      <c r="C132" s="30">
        <v>0</v>
      </c>
      <c r="D132" s="30">
        <v>0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f t="shared" si="3"/>
        <v>0</v>
      </c>
    </row>
    <row r="145" spans="1:6" x14ac:dyDescent="0.25">
      <c r="A145" s="71" t="s">
        <v>239</v>
      </c>
      <c r="B145" s="70"/>
      <c r="C145" s="70"/>
      <c r="D145" s="70"/>
      <c r="E145" s="70"/>
      <c r="F145" s="70"/>
    </row>
    <row r="146" spans="1:6" x14ac:dyDescent="0.25">
      <c r="A146" s="22" t="s">
        <v>240</v>
      </c>
      <c r="B146" s="22" t="s">
        <v>222</v>
      </c>
      <c r="C146" s="22" t="s">
        <v>219</v>
      </c>
      <c r="D146" s="22" t="s">
        <v>218</v>
      </c>
      <c r="E146" s="22" t="s">
        <v>220</v>
      </c>
      <c r="F146" s="22" t="s">
        <v>221</v>
      </c>
    </row>
    <row r="147" spans="1:6" x14ac:dyDescent="0.25">
      <c r="A147" s="23" t="s">
        <v>241</v>
      </c>
      <c r="B147" s="24">
        <f t="shared" ref="B147:B158" si="4">SUM(C147:F147)</f>
        <v>34583.31</v>
      </c>
      <c r="C147" s="24">
        <f>B72</f>
        <v>32020.17</v>
      </c>
      <c r="D147" s="24">
        <f>B42</f>
        <v>2563.14</v>
      </c>
      <c r="E147" s="24">
        <f>B102</f>
        <v>0</v>
      </c>
      <c r="F147" s="24">
        <f>B132</f>
        <v>0</v>
      </c>
    </row>
    <row r="148" spans="1:6" x14ac:dyDescent="0.25">
      <c r="A148" s="26" t="s">
        <v>242</v>
      </c>
      <c r="B148" s="27">
        <f t="shared" si="4"/>
        <v>272221.33999999997</v>
      </c>
      <c r="C148" s="27">
        <f>C72</f>
        <v>78565.289999999994</v>
      </c>
      <c r="D148" s="27">
        <f>C42</f>
        <v>23056.05</v>
      </c>
      <c r="E148" s="27">
        <f>C102</f>
        <v>170600</v>
      </c>
      <c r="F148" s="27">
        <f>C132</f>
        <v>0</v>
      </c>
    </row>
    <row r="149" spans="1:6" x14ac:dyDescent="0.25">
      <c r="A149" s="23" t="s">
        <v>243</v>
      </c>
      <c r="B149" s="24">
        <f t="shared" si="4"/>
        <v>95367.91</v>
      </c>
      <c r="C149" s="24">
        <f>D72</f>
        <v>88547.91</v>
      </c>
      <c r="D149" s="24">
        <f>D42</f>
        <v>2180</v>
      </c>
      <c r="E149" s="24">
        <f>D102</f>
        <v>4640</v>
      </c>
      <c r="F149" s="24">
        <f>D132</f>
        <v>0</v>
      </c>
    </row>
    <row r="150" spans="1:6" x14ac:dyDescent="0.25">
      <c r="A150" s="26" t="s">
        <v>244</v>
      </c>
      <c r="B150" s="27">
        <f t="shared" si="4"/>
        <v>46334.09</v>
      </c>
      <c r="C150" s="27">
        <f>E72</f>
        <v>36334.089999999997</v>
      </c>
      <c r="D150" s="27">
        <f>E42</f>
        <v>10000</v>
      </c>
      <c r="E150" s="27">
        <f>E102</f>
        <v>0</v>
      </c>
      <c r="F150" s="27">
        <f>E132</f>
        <v>0</v>
      </c>
    </row>
    <row r="151" spans="1:6" x14ac:dyDescent="0.25">
      <c r="A151" s="23" t="s">
        <v>245</v>
      </c>
      <c r="B151" s="24">
        <f t="shared" si="4"/>
        <v>47217.8</v>
      </c>
      <c r="C151" s="24">
        <f>F72</f>
        <v>45797.8</v>
      </c>
      <c r="D151" s="24">
        <f>F42</f>
        <v>0</v>
      </c>
      <c r="E151" s="24">
        <f>F102</f>
        <v>1420</v>
      </c>
      <c r="F151" s="24">
        <f>F132</f>
        <v>0</v>
      </c>
    </row>
    <row r="152" spans="1:6" x14ac:dyDescent="0.25">
      <c r="A152" s="26" t="s">
        <v>246</v>
      </c>
      <c r="B152" s="27">
        <f t="shared" si="4"/>
        <v>88748.97</v>
      </c>
      <c r="C152" s="27">
        <f>G72</f>
        <v>66020.17</v>
      </c>
      <c r="D152" s="27">
        <f>G42</f>
        <v>880</v>
      </c>
      <c r="E152" s="27">
        <f>G102</f>
        <v>21848.799999999999</v>
      </c>
      <c r="F152" s="27">
        <f>G132</f>
        <v>0</v>
      </c>
    </row>
    <row r="153" spans="1:6" x14ac:dyDescent="0.25">
      <c r="A153" s="23" t="s">
        <v>247</v>
      </c>
      <c r="B153" s="24">
        <f t="shared" si="4"/>
        <v>292765.59999999998</v>
      </c>
      <c r="C153" s="24">
        <f>H72</f>
        <v>273434.59999999998</v>
      </c>
      <c r="D153" s="24">
        <f>H42</f>
        <v>16251</v>
      </c>
      <c r="E153" s="24">
        <f>H102</f>
        <v>3080</v>
      </c>
      <c r="F153" s="24">
        <f>H132</f>
        <v>0</v>
      </c>
    </row>
    <row r="154" spans="1:6" x14ac:dyDescent="0.25">
      <c r="A154" s="26" t="s">
        <v>248</v>
      </c>
      <c r="B154" s="27">
        <f t="shared" si="4"/>
        <v>0</v>
      </c>
      <c r="C154" s="27">
        <f>I72</f>
        <v>0</v>
      </c>
      <c r="D154" s="27">
        <f>I42</f>
        <v>0</v>
      </c>
      <c r="E154" s="27">
        <f>I102</f>
        <v>0</v>
      </c>
      <c r="F154" s="27">
        <f>I132</f>
        <v>0</v>
      </c>
    </row>
    <row r="155" spans="1:6" x14ac:dyDescent="0.25">
      <c r="A155" s="23" t="s">
        <v>249</v>
      </c>
      <c r="B155" s="24">
        <f t="shared" si="4"/>
        <v>0</v>
      </c>
      <c r="C155" s="24">
        <f>J72</f>
        <v>0</v>
      </c>
      <c r="D155" s="24">
        <f>J42</f>
        <v>0</v>
      </c>
      <c r="E155" s="24">
        <f>J102</f>
        <v>0</v>
      </c>
      <c r="F155" s="24">
        <f>J132</f>
        <v>0</v>
      </c>
    </row>
    <row r="156" spans="1:6" x14ac:dyDescent="0.25">
      <c r="A156" s="26" t="s">
        <v>250</v>
      </c>
      <c r="B156" s="27">
        <f t="shared" si="4"/>
        <v>0</v>
      </c>
      <c r="C156" s="27">
        <f>K72</f>
        <v>0</v>
      </c>
      <c r="D156" s="27">
        <f>K42</f>
        <v>0</v>
      </c>
      <c r="E156" s="27">
        <f>K102</f>
        <v>0</v>
      </c>
      <c r="F156" s="27">
        <f>K132</f>
        <v>0</v>
      </c>
    </row>
    <row r="157" spans="1:6" x14ac:dyDescent="0.25">
      <c r="A157" s="23" t="s">
        <v>251</v>
      </c>
      <c r="B157" s="24">
        <f t="shared" si="4"/>
        <v>0</v>
      </c>
      <c r="C157" s="24">
        <f>L72</f>
        <v>0</v>
      </c>
      <c r="D157" s="24">
        <f>L42</f>
        <v>0</v>
      </c>
      <c r="E157" s="24">
        <f>L102</f>
        <v>0</v>
      </c>
      <c r="F157" s="24">
        <f>L132</f>
        <v>0</v>
      </c>
    </row>
    <row r="158" spans="1:6" x14ac:dyDescent="0.25">
      <c r="A158" s="26" t="s">
        <v>252</v>
      </c>
      <c r="B158" s="27">
        <f t="shared" si="4"/>
        <v>558721.08000000007</v>
      </c>
      <c r="C158" s="27">
        <f>M72</f>
        <v>523371.08</v>
      </c>
      <c r="D158" s="27">
        <f>M42</f>
        <v>3300</v>
      </c>
      <c r="E158" s="27">
        <f>M102</f>
        <v>32050</v>
      </c>
      <c r="F158" s="27">
        <f>M132</f>
        <v>0</v>
      </c>
    </row>
  </sheetData>
  <mergeCells count="5">
    <mergeCell ref="A55:N55"/>
    <mergeCell ref="A25:N25"/>
    <mergeCell ref="A145:F145"/>
    <mergeCell ref="A85:N85"/>
    <mergeCell ref="A115:N115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topLeftCell="A21" workbookViewId="0">
      <selection sqref="A1:J1"/>
    </sheetView>
  </sheetViews>
  <sheetFormatPr baseColWidth="10" defaultColWidth="9.140625" defaultRowHeight="15" x14ac:dyDescent="0.25"/>
  <cols>
    <col min="1" max="1" width="10" customWidth="1"/>
    <col min="2" max="2" width="18" customWidth="1"/>
    <col min="3" max="3" width="22" customWidth="1"/>
    <col min="4" max="4" width="20" customWidth="1"/>
    <col min="5" max="10" width="18" customWidth="1"/>
    <col min="11" max="11" width="5" customWidth="1"/>
    <col min="12" max="13" width="18" customWidth="1"/>
  </cols>
  <sheetData>
    <row r="1" spans="1:13" x14ac:dyDescent="0.25">
      <c r="A1" s="69" t="s">
        <v>253</v>
      </c>
      <c r="B1" s="70"/>
      <c r="C1" s="70"/>
      <c r="D1" s="70"/>
      <c r="E1" s="70"/>
      <c r="F1" s="70"/>
      <c r="G1" s="70"/>
      <c r="H1" s="70"/>
      <c r="I1" s="70"/>
      <c r="J1" s="70"/>
    </row>
    <row r="2" spans="1:13" ht="27.95" customHeight="1" x14ac:dyDescent="0.25">
      <c r="A2" s="1" t="s">
        <v>254</v>
      </c>
      <c r="B2" s="1" t="s">
        <v>255</v>
      </c>
      <c r="C2" s="1" t="s">
        <v>256</v>
      </c>
      <c r="D2" s="1" t="s">
        <v>257</v>
      </c>
      <c r="E2" s="1" t="s">
        <v>258</v>
      </c>
      <c r="F2" s="1" t="s">
        <v>259</v>
      </c>
      <c r="G2" s="1" t="s">
        <v>260</v>
      </c>
      <c r="H2" s="1" t="s">
        <v>261</v>
      </c>
      <c r="I2" s="1" t="s">
        <v>262</v>
      </c>
      <c r="J2" s="1" t="s">
        <v>263</v>
      </c>
      <c r="L2" s="31" t="s">
        <v>214</v>
      </c>
      <c r="M2" s="31" t="s">
        <v>264</v>
      </c>
    </row>
    <row r="3" spans="1:13" x14ac:dyDescent="0.25">
      <c r="A3" s="32" t="s">
        <v>219</v>
      </c>
      <c r="B3" s="5">
        <v>625000</v>
      </c>
      <c r="C3" s="5">
        <v>615000</v>
      </c>
      <c r="D3" s="5">
        <f>MIN!O21</f>
        <v>435397.24</v>
      </c>
      <c r="E3" s="5">
        <f t="shared" ref="E3:F6" si="0">B3/12*8</f>
        <v>416666.66666666669</v>
      </c>
      <c r="F3" s="5">
        <f t="shared" si="0"/>
        <v>410000</v>
      </c>
      <c r="G3" s="5">
        <f>D3-F3</f>
        <v>25397.239999999991</v>
      </c>
      <c r="H3" s="5">
        <f>D3-E3</f>
        <v>18730.573333333305</v>
      </c>
      <c r="I3" s="5">
        <f>D3-C3</f>
        <v>-179602.76</v>
      </c>
      <c r="J3" s="5">
        <f>D3-B3</f>
        <v>-189602.76</v>
      </c>
      <c r="L3" s="33">
        <v>2014</v>
      </c>
      <c r="M3" s="34">
        <v>599213.68999999994</v>
      </c>
    </row>
    <row r="4" spans="1:13" x14ac:dyDescent="0.25">
      <c r="A4" s="35" t="s">
        <v>218</v>
      </c>
      <c r="B4" s="11">
        <v>260000</v>
      </c>
      <c r="C4" s="11">
        <v>250000</v>
      </c>
      <c r="D4" s="11">
        <f>IND!O22</f>
        <v>14470.198718731275</v>
      </c>
      <c r="E4" s="11">
        <f t="shared" si="0"/>
        <v>173333.33333333334</v>
      </c>
      <c r="F4" s="11">
        <f t="shared" si="0"/>
        <v>166666.66666666666</v>
      </c>
      <c r="G4" s="11">
        <f>D4-F4</f>
        <v>-152196.46794793539</v>
      </c>
      <c r="H4" s="11">
        <f>D4-E4</f>
        <v>-158863.13461460208</v>
      </c>
      <c r="I4" s="11">
        <f>D4-C4</f>
        <v>-235529.80128126874</v>
      </c>
      <c r="J4" s="11">
        <f>D4-B4</f>
        <v>-245529.80128126874</v>
      </c>
      <c r="L4" s="36">
        <v>2015</v>
      </c>
      <c r="M4" s="37">
        <v>791852.48</v>
      </c>
    </row>
    <row r="5" spans="1:13" x14ac:dyDescent="0.25">
      <c r="A5" s="32" t="s">
        <v>220</v>
      </c>
      <c r="B5" s="5">
        <v>230000</v>
      </c>
      <c r="C5" s="5">
        <v>220000</v>
      </c>
      <c r="D5" s="5">
        <f>OIL!O16</f>
        <v>178769.53200661473</v>
      </c>
      <c r="E5" s="5">
        <f t="shared" si="0"/>
        <v>153333.33333333334</v>
      </c>
      <c r="F5" s="5">
        <f t="shared" si="0"/>
        <v>146666.66666666666</v>
      </c>
      <c r="G5" s="5">
        <f>D5-F5</f>
        <v>32102.865339948068</v>
      </c>
      <c r="H5" s="5">
        <f>D5-E5</f>
        <v>25436.198673281382</v>
      </c>
      <c r="I5" s="5">
        <f>D5-C5</f>
        <v>-41230.467993385275</v>
      </c>
      <c r="J5" s="5">
        <f>D5-B5</f>
        <v>-51230.467993385275</v>
      </c>
      <c r="L5" s="33">
        <v>2016</v>
      </c>
      <c r="M5" s="34">
        <v>546600.85</v>
      </c>
    </row>
    <row r="6" spans="1:13" x14ac:dyDescent="0.25">
      <c r="A6" s="35" t="s">
        <v>221</v>
      </c>
      <c r="B6" s="11">
        <v>90000</v>
      </c>
      <c r="C6" s="11">
        <v>80000</v>
      </c>
      <c r="D6" s="11">
        <f>SFY!O17</f>
        <v>0</v>
      </c>
      <c r="E6" s="11">
        <f t="shared" si="0"/>
        <v>60000</v>
      </c>
      <c r="F6" s="11">
        <f t="shared" si="0"/>
        <v>53333.333333333336</v>
      </c>
      <c r="G6" s="11">
        <f>D6-F6</f>
        <v>-53333.333333333336</v>
      </c>
      <c r="H6" s="11">
        <f>D6-E6</f>
        <v>-60000</v>
      </c>
      <c r="I6" s="11">
        <f>D6-C6</f>
        <v>-80000</v>
      </c>
      <c r="J6" s="11">
        <f>D6-B6</f>
        <v>-90000</v>
      </c>
      <c r="L6" s="36">
        <v>2017</v>
      </c>
      <c r="M6" s="37">
        <v>586456.22</v>
      </c>
    </row>
    <row r="7" spans="1:13" x14ac:dyDescent="0.25">
      <c r="A7" s="38" t="s">
        <v>265</v>
      </c>
      <c r="B7" s="39">
        <f>SUM(B3:B6)</f>
        <v>1205000</v>
      </c>
      <c r="C7" s="39">
        <f>SUM(C3:C6)</f>
        <v>1165000</v>
      </c>
      <c r="D7" s="39">
        <f>SUM(D3:D6)</f>
        <v>628636.97072534601</v>
      </c>
      <c r="E7" s="39">
        <f>SUM(E3:E6)</f>
        <v>803333.33333333337</v>
      </c>
      <c r="F7" s="39">
        <f>SUM(F3:F6)</f>
        <v>776666.66666666663</v>
      </c>
      <c r="G7" s="39">
        <f>D7-F7</f>
        <v>-148029.69594132062</v>
      </c>
      <c r="H7" s="39">
        <f>D7-E7</f>
        <v>-174696.36260798736</v>
      </c>
      <c r="I7" s="39">
        <f>D7-C7</f>
        <v>-536363.02927465399</v>
      </c>
      <c r="J7" s="39">
        <f>D7-B7</f>
        <v>-576363.02927465399</v>
      </c>
      <c r="L7" s="33">
        <v>2018</v>
      </c>
      <c r="M7" s="34">
        <v>815521.11</v>
      </c>
    </row>
    <row r="8" spans="1:13" x14ac:dyDescent="0.25">
      <c r="L8" s="36">
        <v>2019</v>
      </c>
      <c r="M8" s="37">
        <v>706732.22</v>
      </c>
    </row>
    <row r="9" spans="1:13" x14ac:dyDescent="0.25">
      <c r="C9" s="40" t="s">
        <v>266</v>
      </c>
      <c r="D9" s="41">
        <f>C7-D7</f>
        <v>536363.02927465399</v>
      </c>
      <c r="L9" s="33">
        <v>2020</v>
      </c>
      <c r="M9" s="34">
        <v>820464.89</v>
      </c>
    </row>
    <row r="10" spans="1:13" x14ac:dyDescent="0.25">
      <c r="C10" s="40" t="s">
        <v>267</v>
      </c>
      <c r="D10" s="41">
        <f>B7-D7</f>
        <v>576363.02927465399</v>
      </c>
      <c r="L10" s="36">
        <v>2021</v>
      </c>
      <c r="M10" s="37">
        <v>475934.45</v>
      </c>
    </row>
    <row r="11" spans="1:13" x14ac:dyDescent="0.25">
      <c r="L11" s="33">
        <v>2022</v>
      </c>
      <c r="M11" s="34">
        <v>764082.81</v>
      </c>
    </row>
    <row r="12" spans="1:13" x14ac:dyDescent="0.25">
      <c r="L12" s="36">
        <v>2023</v>
      </c>
      <c r="M12" s="37">
        <v>832552.59</v>
      </c>
    </row>
    <row r="13" spans="1:13" x14ac:dyDescent="0.25">
      <c r="B13" s="72" t="s">
        <v>268</v>
      </c>
      <c r="C13" s="73"/>
      <c r="D13" s="72" t="s">
        <v>269</v>
      </c>
      <c r="E13" s="73"/>
      <c r="L13" s="33">
        <v>2024</v>
      </c>
      <c r="M13" s="34">
        <v>865726.08</v>
      </c>
    </row>
    <row r="14" spans="1:13" ht="20.100000000000001" customHeight="1" x14ac:dyDescent="0.25">
      <c r="B14" s="42" t="s">
        <v>270</v>
      </c>
      <c r="C14" s="42" t="s">
        <v>271</v>
      </c>
      <c r="D14" s="42" t="s">
        <v>270</v>
      </c>
      <c r="E14" s="42" t="s">
        <v>271</v>
      </c>
      <c r="L14" s="36">
        <v>2025</v>
      </c>
      <c r="M14" s="37">
        <v>787520.06</v>
      </c>
    </row>
    <row r="15" spans="1:13" ht="20.100000000000001" customHeight="1" x14ac:dyDescent="0.25">
      <c r="A15" s="33" t="s">
        <v>219</v>
      </c>
      <c r="B15" s="43">
        <f>(D3*100/E3)%</f>
        <v>1.044953376</v>
      </c>
      <c r="C15" s="43">
        <f>IF(B15&gt;=1,0,1-B15)</f>
        <v>0</v>
      </c>
      <c r="D15" s="43">
        <f>(D3*100/F3)%</f>
        <v>1.061944487804878</v>
      </c>
      <c r="E15" s="43">
        <f>IF(D15&gt;=1,0,1-D15)</f>
        <v>0</v>
      </c>
      <c r="L15" s="33">
        <v>2026</v>
      </c>
      <c r="M15" s="34">
        <f>D7</f>
        <v>628636.97072534601</v>
      </c>
    </row>
    <row r="16" spans="1:13" ht="20.100000000000001" customHeight="1" x14ac:dyDescent="0.25">
      <c r="A16" s="36" t="s">
        <v>218</v>
      </c>
      <c r="B16" s="44">
        <f>(D4*100/E4)%</f>
        <v>8.3481915684988126E-2</v>
      </c>
      <c r="C16" s="44">
        <f>IF(B16&gt;=1,0,1-B16)</f>
        <v>0.91651808431501192</v>
      </c>
      <c r="D16" s="44">
        <f>(D4*100/F4)%</f>
        <v>8.6821192312387649E-2</v>
      </c>
      <c r="E16" s="44">
        <f>IF(D16&gt;=1,0,1-D16)</f>
        <v>0.91317880768761239</v>
      </c>
    </row>
    <row r="17" spans="1:5" ht="20.100000000000001" customHeight="1" x14ac:dyDescent="0.25">
      <c r="A17" s="33" t="s">
        <v>220</v>
      </c>
      <c r="B17" s="43">
        <f>(D5*100/E5)%</f>
        <v>1.1658882522170524</v>
      </c>
      <c r="C17" s="43">
        <f>IF(B17&gt;=1,0,1-B17)</f>
        <v>0</v>
      </c>
      <c r="D17" s="43">
        <f>(D5*100/F5)%</f>
        <v>1.2188831727723732</v>
      </c>
      <c r="E17" s="43">
        <f>IF(D17&gt;=1,0,1-D17)</f>
        <v>0</v>
      </c>
    </row>
    <row r="18" spans="1:5" ht="20.100000000000001" customHeight="1" x14ac:dyDescent="0.25">
      <c r="A18" s="36" t="s">
        <v>221</v>
      </c>
      <c r="B18" s="44">
        <f>(D6*100/E6)%</f>
        <v>0</v>
      </c>
      <c r="C18" s="44">
        <f>IF(B18&gt;=1,0,1-B18)</f>
        <v>1</v>
      </c>
      <c r="D18" s="44">
        <f>(D6*100/F6)%</f>
        <v>0</v>
      </c>
      <c r="E18" s="44">
        <f>IF(D18&gt;=1,0,1-D18)</f>
        <v>1</v>
      </c>
    </row>
    <row r="19" spans="1:5" ht="21.95" customHeight="1" x14ac:dyDescent="0.25">
      <c r="A19" s="45" t="s">
        <v>272</v>
      </c>
      <c r="B19" s="46">
        <f>(D7*100/E7)%</f>
        <v>0.78253564820582477</v>
      </c>
      <c r="C19" s="46">
        <f>IF(B19&gt;=1,0,1-B19)</f>
        <v>0.21746435179417523</v>
      </c>
      <c r="D19" s="46">
        <f>(D7*100/F7)%</f>
        <v>0.80940382496825658</v>
      </c>
      <c r="E19" s="46">
        <f>IF(D19&gt;=1,0,1-D19)</f>
        <v>0.19059617503174342</v>
      </c>
    </row>
    <row r="39" spans="2:4" ht="20.100000000000001" customHeight="1" x14ac:dyDescent="0.25">
      <c r="B39" s="47" t="s">
        <v>273</v>
      </c>
      <c r="C39" s="47" t="s">
        <v>270</v>
      </c>
      <c r="D39" s="47" t="s">
        <v>271</v>
      </c>
    </row>
    <row r="40" spans="2:4" ht="20.100000000000001" customHeight="1" x14ac:dyDescent="0.25">
      <c r="B40" s="36" t="s">
        <v>274</v>
      </c>
      <c r="C40" s="48">
        <f>D7/C7</f>
        <v>0.53960254997883772</v>
      </c>
      <c r="D40" s="48">
        <f>MAX(0, 1-C40)</f>
        <v>0.46039745002116228</v>
      </c>
    </row>
    <row r="41" spans="2:4" ht="20.100000000000001" customHeight="1" x14ac:dyDescent="0.25">
      <c r="B41" s="33" t="s">
        <v>275</v>
      </c>
      <c r="C41" s="49">
        <f>D7/B7</f>
        <v>0.52169043213721655</v>
      </c>
      <c r="D41" s="49">
        <f>MAX(0, 1-C41)</f>
        <v>0.47830956786278345</v>
      </c>
    </row>
  </sheetData>
  <mergeCells count="3">
    <mergeCell ref="B13:C13"/>
    <mergeCell ref="A1:J1"/>
    <mergeCell ref="D13:E13"/>
  </mergeCells>
  <conditionalFormatting sqref="G3:J6">
    <cfRule type="cellIs" dxfId="3" priority="1" stopIfTrue="1" operator="greaterThanOrEqual">
      <formula>0</formula>
    </cfRule>
    <cfRule type="cellIs" dxfId="2" priority="2" stopIfTrue="1" operator="lessThan">
      <formula>0</formula>
    </cfRule>
  </conditionalFormatting>
  <conditionalFormatting sqref="G7:J7">
    <cfRule type="cellIs" dxfId="1" priority="3" stopIfTrue="1" operator="greaterThanOrEqual">
      <formula>0</formula>
    </cfRule>
    <cfRule type="cellIs" dxfId="0" priority="4" stopIfTrue="1" operator="lessThan">
      <formula>0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/>
  </sheetViews>
  <sheetFormatPr baseColWidth="10" defaultColWidth="9.140625" defaultRowHeight="15" x14ac:dyDescent="0.25"/>
  <cols>
    <col min="1" max="1" width="10" customWidth="1"/>
    <col min="2" max="2" width="33" customWidth="1"/>
    <col min="3" max="3" width="19" customWidth="1"/>
    <col min="4" max="4" width="18" customWidth="1"/>
    <col min="5" max="5" width="22" customWidth="1"/>
    <col min="6" max="10" width="18" customWidth="1"/>
  </cols>
  <sheetData>
    <row r="1" spans="1:10" x14ac:dyDescent="0.25">
      <c r="A1" s="74" t="s">
        <v>219</v>
      </c>
      <c r="B1" s="50" t="s">
        <v>276</v>
      </c>
      <c r="C1" s="50" t="s">
        <v>277</v>
      </c>
      <c r="D1" s="50" t="s">
        <v>219</v>
      </c>
      <c r="E1" s="50" t="s">
        <v>278</v>
      </c>
      <c r="F1" s="50" t="s">
        <v>279</v>
      </c>
      <c r="G1" s="50" t="s">
        <v>280</v>
      </c>
      <c r="H1" s="50" t="s">
        <v>281</v>
      </c>
      <c r="I1" s="50" t="s">
        <v>282</v>
      </c>
      <c r="J1" s="50" t="s">
        <v>283</v>
      </c>
    </row>
    <row r="2" spans="1:10" x14ac:dyDescent="0.25">
      <c r="A2" s="75"/>
      <c r="B2" s="51" t="s">
        <v>284</v>
      </c>
      <c r="C2" s="77">
        <f>Objetivos!B3</f>
        <v>625000</v>
      </c>
      <c r="D2" s="77">
        <f>Objetivos!C3</f>
        <v>615000</v>
      </c>
      <c r="E2" s="52">
        <v>0.33333333333333331</v>
      </c>
      <c r="F2" s="53">
        <f>C$2*E2</f>
        <v>208333.33333333331</v>
      </c>
      <c r="G2" s="53">
        <f>D$2*E2</f>
        <v>205000</v>
      </c>
      <c r="H2" s="53">
        <f>SUMIF(MIN!L:L,"Claudia",MIN!I:I)+SUMIF(MIN!L:L,"Claudia",MIN!K:K)</f>
        <v>1345.3899999999999</v>
      </c>
      <c r="I2" s="54">
        <f>IF(F2&gt;0,H2/F2,0)</f>
        <v>6.4578719999999999E-3</v>
      </c>
      <c r="J2" s="54">
        <f>IF(G2&gt;0,H2/G2,0)</f>
        <v>6.5628780487804869E-3</v>
      </c>
    </row>
    <row r="3" spans="1:10" x14ac:dyDescent="0.25">
      <c r="A3" s="75"/>
      <c r="B3" s="55" t="s">
        <v>285</v>
      </c>
      <c r="C3" s="75"/>
      <c r="D3" s="75"/>
      <c r="E3" s="56">
        <v>0.33333333333333331</v>
      </c>
      <c r="F3" s="57">
        <f>C$2*E3</f>
        <v>208333.33333333331</v>
      </c>
      <c r="G3" s="57">
        <f>D$2*E3</f>
        <v>205000</v>
      </c>
      <c r="H3" s="57">
        <f>SUMIF(MIN!L:L,"Luisa",MIN!I:I)+SUMIF(MIN!L:L,"Luisa",MIN!K:K)</f>
        <v>88165.25</v>
      </c>
      <c r="I3" s="58">
        <f>IF(F3&gt;0,H3/F3,0)</f>
        <v>0.42319320000000005</v>
      </c>
      <c r="J3" s="58">
        <f>IF(G3&gt;0,H3/G3,0)</f>
        <v>0.43007439024390243</v>
      </c>
    </row>
    <row r="4" spans="1:10" x14ac:dyDescent="0.25">
      <c r="A4" s="75"/>
      <c r="B4" s="51" t="s">
        <v>286</v>
      </c>
      <c r="C4" s="76"/>
      <c r="D4" s="76"/>
      <c r="E4" s="52">
        <v>0.33333333333333331</v>
      </c>
      <c r="F4" s="53">
        <f>C$2*E4</f>
        <v>208333.33333333331</v>
      </c>
      <c r="G4" s="53">
        <f>D$2*E4</f>
        <v>205000</v>
      </c>
      <c r="H4" s="53">
        <f>SUMIF(MIN!L:L,"Eduardo",MIN!I:I)+SUMIF(MIN!L:L,"Eduardo",MIN!K:K)</f>
        <v>345886.6</v>
      </c>
      <c r="I4" s="54">
        <f>IF(F4&gt;0,H4/F4,0)</f>
        <v>1.6602556800000001</v>
      </c>
      <c r="J4" s="54">
        <f>IF(G4&gt;0,H4/G4,0)</f>
        <v>1.687251707317073</v>
      </c>
    </row>
    <row r="5" spans="1:10" x14ac:dyDescent="0.25">
      <c r="A5" s="76"/>
      <c r="B5" s="59" t="s">
        <v>125</v>
      </c>
      <c r="C5" s="60"/>
      <c r="D5" s="60"/>
      <c r="E5" s="61">
        <f>SUM(E2:E4)</f>
        <v>1</v>
      </c>
      <c r="F5" s="62">
        <f>SUM(F2:F4)</f>
        <v>625000</v>
      </c>
      <c r="G5" s="62">
        <f>SUM(G2:G4)</f>
        <v>615000</v>
      </c>
      <c r="H5" s="62">
        <f>SUM(H2:H4)</f>
        <v>435397.24</v>
      </c>
      <c r="I5" s="63">
        <f>IF(F5&gt;0,H5/F5,0)</f>
        <v>0.69663558400000003</v>
      </c>
      <c r="J5" s="63">
        <f>IF(G5&gt;0,H5/G5,0)</f>
        <v>0.70796299186991873</v>
      </c>
    </row>
    <row r="8" spans="1:10" x14ac:dyDescent="0.25">
      <c r="A8" s="74" t="s">
        <v>218</v>
      </c>
      <c r="B8" s="50" t="s">
        <v>276</v>
      </c>
      <c r="C8" s="50" t="s">
        <v>277</v>
      </c>
      <c r="D8" s="50" t="s">
        <v>219</v>
      </c>
      <c r="E8" s="50" t="s">
        <v>278</v>
      </c>
      <c r="F8" s="50" t="s">
        <v>279</v>
      </c>
      <c r="G8" s="50" t="s">
        <v>280</v>
      </c>
      <c r="H8" s="50" t="s">
        <v>281</v>
      </c>
      <c r="I8" s="50" t="s">
        <v>282</v>
      </c>
      <c r="J8" s="50" t="s">
        <v>283</v>
      </c>
    </row>
    <row r="9" spans="1:10" x14ac:dyDescent="0.25">
      <c r="A9" s="75"/>
      <c r="B9" s="51" t="s">
        <v>284</v>
      </c>
      <c r="C9" s="77">
        <f>Objetivos!B4</f>
        <v>260000</v>
      </c>
      <c r="D9" s="77">
        <f>Objetivos!C4</f>
        <v>250000</v>
      </c>
      <c r="E9" s="52">
        <v>0.33333333333333331</v>
      </c>
      <c r="F9" s="53">
        <f>C$9*E9</f>
        <v>86666.666666666657</v>
      </c>
      <c r="G9" s="53">
        <f>D$9*E9</f>
        <v>83333.333333333328</v>
      </c>
      <c r="H9" s="53">
        <f>SUMIF(IND!L:L,"Claudia",IND!I:I)+SUMIF(IND!L:L,"Claudia",IND!K:K)</f>
        <v>9706.7236227824469</v>
      </c>
      <c r="I9" s="54">
        <f>IF(F9&gt;0,H9/F9,0)</f>
        <v>0.11200065718595133</v>
      </c>
      <c r="J9" s="54">
        <f>IF(G9&gt;0,H9/G9,0)</f>
        <v>0.11648068347338937</v>
      </c>
    </row>
    <row r="10" spans="1:10" x14ac:dyDescent="0.25">
      <c r="A10" s="75"/>
      <c r="B10" s="55" t="s">
        <v>285</v>
      </c>
      <c r="C10" s="75"/>
      <c r="D10" s="75"/>
      <c r="E10" s="56">
        <v>0.33333333333333331</v>
      </c>
      <c r="F10" s="57">
        <f>C$9*E10</f>
        <v>86666.666666666657</v>
      </c>
      <c r="G10" s="57">
        <f>D$9*E10</f>
        <v>83333.333333333328</v>
      </c>
      <c r="H10" s="57">
        <f>SUMIF(IND!L:L,"Luisa",IND!I:I)+SUMIF(IND!L:L,"Luisa",IND!K:K)</f>
        <v>0</v>
      </c>
      <c r="I10" s="58">
        <f>IF(F10&gt;0,H10/F10,0)</f>
        <v>0</v>
      </c>
      <c r="J10" s="58">
        <f>IF(G10&gt;0,H10/G10,0)</f>
        <v>0</v>
      </c>
    </row>
    <row r="11" spans="1:10" x14ac:dyDescent="0.25">
      <c r="A11" s="75"/>
      <c r="B11" s="51" t="s">
        <v>286</v>
      </c>
      <c r="C11" s="76"/>
      <c r="D11" s="76"/>
      <c r="E11" s="52">
        <v>0.33333333333333331</v>
      </c>
      <c r="F11" s="53">
        <f>C$9*E11</f>
        <v>86666.666666666657</v>
      </c>
      <c r="G11" s="53">
        <f>D$9*E11</f>
        <v>83333.333333333328</v>
      </c>
      <c r="H11" s="53">
        <f>SUMIF(IND!L:L,"Eduardo",IND!I:I)+SUMIF(IND!L:L,"Eduardo",IND!K:K)</f>
        <v>4763.4750959488265</v>
      </c>
      <c r="I11" s="54">
        <f>IF(F11&gt;0,H11/F11,0)</f>
        <v>5.4963174184024924E-2</v>
      </c>
      <c r="J11" s="54">
        <f>IF(G11&gt;0,H11/G11,0)</f>
        <v>5.716170115138592E-2</v>
      </c>
    </row>
    <row r="12" spans="1:10" x14ac:dyDescent="0.25">
      <c r="A12" s="76"/>
      <c r="B12" s="59" t="s">
        <v>125</v>
      </c>
      <c r="C12" s="60"/>
      <c r="D12" s="60"/>
      <c r="E12" s="61">
        <f>SUM(E9:E11)</f>
        <v>1</v>
      </c>
      <c r="F12" s="62">
        <f>SUM(F9:F11)</f>
        <v>259999.99999999997</v>
      </c>
      <c r="G12" s="62">
        <f>SUM(G9:G11)</f>
        <v>250000</v>
      </c>
      <c r="H12" s="62">
        <f>SUM(H9:H11)</f>
        <v>14470.198718731273</v>
      </c>
      <c r="I12" s="63">
        <f>IF(F12&gt;0,H12/F12,0)</f>
        <v>5.5654610456658753E-2</v>
      </c>
      <c r="J12" s="63">
        <f>IF(G12&gt;0,H12/G12,0)</f>
        <v>5.7880794874925097E-2</v>
      </c>
    </row>
    <row r="15" spans="1:10" x14ac:dyDescent="0.25">
      <c r="A15" s="74" t="s">
        <v>220</v>
      </c>
      <c r="B15" s="50" t="s">
        <v>276</v>
      </c>
      <c r="C15" s="50" t="s">
        <v>277</v>
      </c>
      <c r="D15" s="50" t="s">
        <v>219</v>
      </c>
      <c r="E15" s="50" t="s">
        <v>278</v>
      </c>
      <c r="F15" s="50" t="s">
        <v>279</v>
      </c>
      <c r="G15" s="50" t="s">
        <v>280</v>
      </c>
      <c r="H15" s="50" t="s">
        <v>281</v>
      </c>
      <c r="I15" s="50" t="s">
        <v>282</v>
      </c>
      <c r="J15" s="50" t="s">
        <v>283</v>
      </c>
    </row>
    <row r="16" spans="1:10" x14ac:dyDescent="0.25">
      <c r="A16" s="75"/>
      <c r="B16" s="51" t="s">
        <v>284</v>
      </c>
      <c r="C16" s="77">
        <f>Objetivos!B5</f>
        <v>230000</v>
      </c>
      <c r="D16" s="77">
        <f>Objetivos!C5</f>
        <v>220000</v>
      </c>
      <c r="E16" s="52">
        <v>0.33333333333333331</v>
      </c>
      <c r="F16" s="53">
        <f>C$16*E16</f>
        <v>76666.666666666657</v>
      </c>
      <c r="G16" s="53">
        <f>D$16*E16</f>
        <v>73333.333333333328</v>
      </c>
      <c r="H16" s="53">
        <f>SUMIF(OIL!L:L,"Claudia",OIL!I:I)+SUMIF(OIL!L:L,"Claudia",OIL!K:K)</f>
        <v>295.89041095890411</v>
      </c>
      <c r="I16" s="54">
        <f>IF(F16&gt;0,H16/F16,0)</f>
        <v>3.8594401429422279E-3</v>
      </c>
      <c r="J16" s="54">
        <f>IF(G16&gt;0,H16/G16,0)</f>
        <v>4.0348692403486923E-3</v>
      </c>
    </row>
    <row r="17" spans="1:10" x14ac:dyDescent="0.25">
      <c r="A17" s="75"/>
      <c r="B17" s="55" t="s">
        <v>285</v>
      </c>
      <c r="C17" s="75"/>
      <c r="D17" s="75"/>
      <c r="E17" s="56">
        <v>0.33333333333333331</v>
      </c>
      <c r="F17" s="57">
        <f>C$16*E17</f>
        <v>76666.666666666657</v>
      </c>
      <c r="G17" s="57">
        <f>D$16*E17</f>
        <v>73333.333333333328</v>
      </c>
      <c r="H17" s="57">
        <f>SUMIF(OIL!L:L,"Luisa",OIL!I:I)+SUMIF(OIL!L:L,"Luisa",OIL!K:K)</f>
        <v>2280</v>
      </c>
      <c r="I17" s="58">
        <f>IF(F17&gt;0,H17/F17,0)</f>
        <v>2.9739130434782612E-2</v>
      </c>
      <c r="J17" s="58">
        <f>IF(G17&gt;0,H17/G17,0)</f>
        <v>3.1090909090909093E-2</v>
      </c>
    </row>
    <row r="18" spans="1:10" x14ac:dyDescent="0.25">
      <c r="A18" s="75"/>
      <c r="B18" s="51" t="s">
        <v>286</v>
      </c>
      <c r="C18" s="76"/>
      <c r="D18" s="76"/>
      <c r="E18" s="52">
        <v>0.33333333333333331</v>
      </c>
      <c r="F18" s="53">
        <f>C$16*E18</f>
        <v>76666.666666666657</v>
      </c>
      <c r="G18" s="53">
        <f>D$16*E18</f>
        <v>73333.333333333328</v>
      </c>
      <c r="H18" s="53">
        <f>SUMIF(OIL!L:L,"Eduardo",OIL!I:I)+SUMIF(OIL!L:L,"Eduardo",OIL!K:K)</f>
        <v>176193.64159565582</v>
      </c>
      <c r="I18" s="54">
        <f>IF(F18&gt;0,H18/F18,0)</f>
        <v>2.2981779338563806</v>
      </c>
      <c r="J18" s="54">
        <f>IF(G18&gt;0,H18/G18,0)</f>
        <v>2.4026405672134885</v>
      </c>
    </row>
    <row r="19" spans="1:10" x14ac:dyDescent="0.25">
      <c r="A19" s="76"/>
      <c r="B19" s="59" t="s">
        <v>125</v>
      </c>
      <c r="C19" s="60"/>
      <c r="D19" s="60"/>
      <c r="E19" s="61">
        <f>SUM(E16:E18)</f>
        <v>1</v>
      </c>
      <c r="F19" s="62">
        <f>SUM(F16:F18)</f>
        <v>229999.99999999997</v>
      </c>
      <c r="G19" s="62">
        <f>SUM(G16:G18)</f>
        <v>220000</v>
      </c>
      <c r="H19" s="62">
        <f>SUM(H16:H18)</f>
        <v>178769.53200661473</v>
      </c>
      <c r="I19" s="63">
        <f>IF(F19&gt;0,H19/F19,0)</f>
        <v>0.77725883481136848</v>
      </c>
      <c r="J19" s="63">
        <f>IF(G19&gt;0,H19/G19,0)</f>
        <v>0.81258878184824879</v>
      </c>
    </row>
    <row r="22" spans="1:10" x14ac:dyDescent="0.25">
      <c r="A22" s="74" t="s">
        <v>221</v>
      </c>
      <c r="B22" s="50" t="s">
        <v>276</v>
      </c>
      <c r="C22" s="50" t="s">
        <v>277</v>
      </c>
      <c r="D22" s="50" t="s">
        <v>219</v>
      </c>
      <c r="E22" s="50" t="s">
        <v>278</v>
      </c>
      <c r="F22" s="50" t="s">
        <v>279</v>
      </c>
      <c r="G22" s="50" t="s">
        <v>280</v>
      </c>
      <c r="H22" s="50" t="s">
        <v>281</v>
      </c>
      <c r="I22" s="50" t="s">
        <v>282</v>
      </c>
      <c r="J22" s="50" t="s">
        <v>283</v>
      </c>
    </row>
    <row r="23" spans="1:10" x14ac:dyDescent="0.25">
      <c r="A23" s="75"/>
      <c r="B23" s="51" t="s">
        <v>284</v>
      </c>
      <c r="C23" s="77">
        <f>Objetivos!B6</f>
        <v>90000</v>
      </c>
      <c r="D23" s="77">
        <f>Objetivos!C6</f>
        <v>80000</v>
      </c>
      <c r="E23" s="52">
        <v>0.33333333333333331</v>
      </c>
      <c r="F23" s="53">
        <f>C$23*E23</f>
        <v>30000</v>
      </c>
      <c r="G23" s="53">
        <f>D$23*E23</f>
        <v>26666.666666666664</v>
      </c>
      <c r="H23" s="53">
        <f>SUMIF(SFY!L:L,"Claudia",SFY!I:I)+SUMIF(SFY!L:L,"Claudia",SFY!K:K)</f>
        <v>0</v>
      </c>
      <c r="I23" s="54">
        <f>IF(F23&gt;0,H23/F23,0)</f>
        <v>0</v>
      </c>
      <c r="J23" s="54">
        <f>IF(G23&gt;0,H23/G23,0)</f>
        <v>0</v>
      </c>
    </row>
    <row r="24" spans="1:10" x14ac:dyDescent="0.25">
      <c r="A24" s="75"/>
      <c r="B24" s="55" t="s">
        <v>285</v>
      </c>
      <c r="C24" s="75"/>
      <c r="D24" s="75"/>
      <c r="E24" s="56">
        <v>0.33333333333333331</v>
      </c>
      <c r="F24" s="57">
        <f>C$23*E24</f>
        <v>30000</v>
      </c>
      <c r="G24" s="57">
        <f>D$23*E24</f>
        <v>26666.666666666664</v>
      </c>
      <c r="H24" s="57">
        <f>SUMIF(SFY!L:L,"Luisa",SFY!I:I)+SUMIF(SFY!L:L,"Luisa",SFY!K:K)</f>
        <v>0</v>
      </c>
      <c r="I24" s="58">
        <f>IF(F24&gt;0,H24/F24,0)</f>
        <v>0</v>
      </c>
      <c r="J24" s="58">
        <f>IF(G24&gt;0,H24/G24,0)</f>
        <v>0</v>
      </c>
    </row>
    <row r="25" spans="1:10" x14ac:dyDescent="0.25">
      <c r="A25" s="75"/>
      <c r="B25" s="51" t="s">
        <v>286</v>
      </c>
      <c r="C25" s="76"/>
      <c r="D25" s="76"/>
      <c r="E25" s="52">
        <v>0.33333333333333331</v>
      </c>
      <c r="F25" s="53">
        <f>C$23*E25</f>
        <v>30000</v>
      </c>
      <c r="G25" s="53">
        <f>D$23*E25</f>
        <v>26666.666666666664</v>
      </c>
      <c r="H25" s="53">
        <f>SUMIF(SFY!L:L,"Eduardo",SFY!I:I)+SUMIF(SFY!L:L,"Eduardo",SFY!K:K)</f>
        <v>0</v>
      </c>
      <c r="I25" s="54">
        <f>IF(F25&gt;0,H25/F25,0)</f>
        <v>0</v>
      </c>
      <c r="J25" s="54">
        <f>IF(G25&gt;0,H25/G25,0)</f>
        <v>0</v>
      </c>
    </row>
    <row r="26" spans="1:10" x14ac:dyDescent="0.25">
      <c r="A26" s="76"/>
      <c r="B26" s="59" t="s">
        <v>125</v>
      </c>
      <c r="C26" s="60"/>
      <c r="D26" s="60"/>
      <c r="E26" s="61">
        <f>SUM(E23:E25)</f>
        <v>1</v>
      </c>
      <c r="F26" s="62">
        <f>SUM(F23:F25)</f>
        <v>90000</v>
      </c>
      <c r="G26" s="62">
        <f>SUM(G23:G25)</f>
        <v>80000</v>
      </c>
      <c r="H26" s="62">
        <f>SUM(H23:H25)</f>
        <v>0</v>
      </c>
      <c r="I26" s="63">
        <f>IF(F26&gt;0,H26/F26,0)</f>
        <v>0</v>
      </c>
      <c r="J26" s="63">
        <f>IF(G26&gt;0,H26/G26,0)</f>
        <v>0</v>
      </c>
    </row>
    <row r="29" spans="1:10" x14ac:dyDescent="0.25">
      <c r="B29" s="50" t="s">
        <v>287</v>
      </c>
      <c r="C29" s="50" t="s">
        <v>288</v>
      </c>
      <c r="D29" s="50" t="s">
        <v>281</v>
      </c>
      <c r="E29" s="50" t="s">
        <v>289</v>
      </c>
    </row>
    <row r="30" spans="1:10" x14ac:dyDescent="0.25">
      <c r="B30" s="51" t="s">
        <v>290</v>
      </c>
      <c r="C30" s="53">
        <f>C2</f>
        <v>625000</v>
      </c>
      <c r="D30" s="53">
        <f>SUM(H2:H4)</f>
        <v>435397.24</v>
      </c>
      <c r="E30" s="54">
        <f>IF(C30&gt;0,D30/C30,0)</f>
        <v>0.69663558400000003</v>
      </c>
    </row>
    <row r="31" spans="1:10" x14ac:dyDescent="0.25">
      <c r="B31" s="55" t="s">
        <v>291</v>
      </c>
      <c r="C31" s="57">
        <f>C9</f>
        <v>260000</v>
      </c>
      <c r="D31" s="57">
        <f>SUM(H9:H11)</f>
        <v>14470.198718731273</v>
      </c>
      <c r="E31" s="58">
        <f>IF(C31&gt;0,D31/C31,0)</f>
        <v>5.5654610456658746E-2</v>
      </c>
    </row>
    <row r="32" spans="1:10" x14ac:dyDescent="0.25">
      <c r="B32" s="51" t="s">
        <v>292</v>
      </c>
      <c r="C32" s="53">
        <f>C16</f>
        <v>230000</v>
      </c>
      <c r="D32" s="53">
        <f>SUM(H16:H18)</f>
        <v>178769.53200661473</v>
      </c>
      <c r="E32" s="54">
        <f>IF(C32&gt;0,D32/C32,0)</f>
        <v>0.77725883481136837</v>
      </c>
    </row>
    <row r="33" spans="2:5" x14ac:dyDescent="0.25">
      <c r="B33" s="55" t="s">
        <v>293</v>
      </c>
      <c r="C33" s="57">
        <f>C23</f>
        <v>90000</v>
      </c>
      <c r="D33" s="57">
        <f>SUM(H23:H25)</f>
        <v>0</v>
      </c>
      <c r="E33" s="58">
        <f>IF(C33&gt;0,D33/C33,0)</f>
        <v>0</v>
      </c>
    </row>
    <row r="34" spans="2:5" x14ac:dyDescent="0.25">
      <c r="B34" s="64" t="s">
        <v>222</v>
      </c>
      <c r="C34" s="65">
        <f>SUM(C30:C33)</f>
        <v>1205000</v>
      </c>
      <c r="D34" s="65">
        <f>SUM(D30:D33)</f>
        <v>628636.97072534601</v>
      </c>
      <c r="E34" s="66">
        <f>IF(C34&gt;0,D34/C34,0)</f>
        <v>0.52169043213721655</v>
      </c>
    </row>
    <row r="37" spans="2:5" x14ac:dyDescent="0.25">
      <c r="B37" s="50" t="s">
        <v>294</v>
      </c>
      <c r="C37" s="50" t="s">
        <v>281</v>
      </c>
    </row>
    <row r="38" spans="2:5" x14ac:dyDescent="0.25">
      <c r="B38" s="51" t="s">
        <v>284</v>
      </c>
      <c r="C38" s="53">
        <f>H2+H9+H16+H23</f>
        <v>11348.00403374135</v>
      </c>
    </row>
    <row r="39" spans="2:5" x14ac:dyDescent="0.25">
      <c r="B39" s="55" t="s">
        <v>285</v>
      </c>
      <c r="C39" s="57">
        <f>H3+H10+H17+H24</f>
        <v>90445.25</v>
      </c>
    </row>
    <row r="40" spans="2:5" x14ac:dyDescent="0.25">
      <c r="B40" s="51" t="s">
        <v>286</v>
      </c>
      <c r="C40" s="53">
        <f>H4+H11+H18+H25</f>
        <v>526843.71669160458</v>
      </c>
    </row>
    <row r="41" spans="2:5" x14ac:dyDescent="0.25">
      <c r="B41" s="64" t="s">
        <v>222</v>
      </c>
      <c r="C41" s="65">
        <f>SUM(C38:C40)</f>
        <v>628636.97072534589</v>
      </c>
    </row>
  </sheetData>
  <mergeCells count="12">
    <mergeCell ref="A22:A26"/>
    <mergeCell ref="D23:D25"/>
    <mergeCell ref="A15:A19"/>
    <mergeCell ref="C2:C4"/>
    <mergeCell ref="A8:A12"/>
    <mergeCell ref="C16:C18"/>
    <mergeCell ref="D16:D18"/>
    <mergeCell ref="C23:C25"/>
    <mergeCell ref="A1:A5"/>
    <mergeCell ref="D2:D4"/>
    <mergeCell ref="C9:C11"/>
    <mergeCell ref="D9:D1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MIN</vt:lpstr>
      <vt:lpstr>OIL</vt:lpstr>
      <vt:lpstr>IND</vt:lpstr>
      <vt:lpstr>SFY</vt:lpstr>
      <vt:lpstr>2012 - 2026</vt:lpstr>
      <vt:lpstr>Objetivos</vt:lpstr>
      <vt:lpstr>Objetivos Com.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VC-23031</cp:lastModifiedBy>
  <dcterms:created xsi:type="dcterms:W3CDTF">2026-08-11T20:31:22Z</dcterms:created>
  <dcterms:modified xsi:type="dcterms:W3CDTF">2026-08-11T20:33:23Z</dcterms:modified>
</cp:coreProperties>
</file>